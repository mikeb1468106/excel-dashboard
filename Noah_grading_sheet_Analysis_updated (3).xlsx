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postholdings-my.sharepoint.com/personal/mblakley_postholdings_com/Documents/Documents/Michael/Noah Weekly Grades/"/>
    </mc:Choice>
  </mc:AlternateContent>
  <xr:revisionPtr revIDLastSave="10" documentId="8_{9F4795C9-9EBA-4849-85DB-CCB23FD8779E}" xr6:coauthVersionLast="47" xr6:coauthVersionMax="47" xr10:uidLastSave="{6D7AF438-9AA6-4485-A789-EB686851F164}"/>
  <bookViews>
    <workbookView xWindow="28680" yWindow="-45" windowWidth="29040" windowHeight="15720" firstSheet="12" activeTab="12" xr2:uid="{00000000-000D-0000-FFFF-FFFF00000000}"/>
  </bookViews>
  <sheets>
    <sheet name="Analysis" sheetId="1" r:id="rId1"/>
    <sheet name="1-3-26" sheetId="2" r:id="rId2"/>
    <sheet name="12-27-25" sheetId="3" r:id="rId3"/>
    <sheet name="12-13-25" sheetId="4" r:id="rId4"/>
    <sheet name="11-28-25" sheetId="5" r:id="rId5"/>
    <sheet name="11-21-25" sheetId="6" r:id="rId6"/>
    <sheet name="11-14-25" sheetId="7" r:id="rId7"/>
    <sheet name="11-7-25" sheetId="8" r:id="rId8"/>
    <sheet name="11-1-25" sheetId="9" r:id="rId9"/>
    <sheet name="Dashboard" sheetId="10" r:id="rId10"/>
    <sheet name="Weekly Changes" sheetId="11" r:id="rId11"/>
    <sheet name="Summary" sheetId="12" r:id="rId12"/>
    <sheet name="Target Planner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3" l="1"/>
  <c r="E6" i="13" s="1"/>
  <c r="F6" i="13" s="1"/>
  <c r="E3" i="13"/>
  <c r="F3" i="13" s="1"/>
  <c r="E4" i="13"/>
  <c r="F4" i="13" s="1"/>
  <c r="E5" i="13"/>
  <c r="F5" i="13" s="1"/>
  <c r="E7" i="13"/>
  <c r="F7" i="13" s="1"/>
  <c r="E2" i="13"/>
  <c r="F2" i="13" s="1"/>
  <c r="I8" i="12"/>
  <c r="H8" i="12"/>
  <c r="D7" i="9"/>
  <c r="E7" i="9" s="1"/>
  <c r="F7" i="9" s="1"/>
  <c r="D6" i="9"/>
  <c r="E6" i="9" s="1"/>
  <c r="F6" i="9" s="1"/>
  <c r="D5" i="9"/>
  <c r="E5" i="9" s="1"/>
  <c r="F5" i="9" s="1"/>
  <c r="F4" i="9"/>
  <c r="E4" i="9"/>
  <c r="D4" i="9"/>
  <c r="D3" i="9"/>
  <c r="E3" i="9" s="1"/>
  <c r="F3" i="9" s="1"/>
  <c r="D2" i="9"/>
  <c r="E2" i="9" s="1"/>
  <c r="F2" i="9" s="1"/>
  <c r="D7" i="8"/>
  <c r="E7" i="8" s="1"/>
  <c r="F7" i="8" s="1"/>
  <c r="F6" i="8"/>
  <c r="E6" i="8"/>
  <c r="D6" i="8"/>
  <c r="D5" i="8"/>
  <c r="E5" i="8" s="1"/>
  <c r="F5" i="8" s="1"/>
  <c r="D4" i="8"/>
  <c r="E4" i="8" s="1"/>
  <c r="F4" i="8" s="1"/>
  <c r="D3" i="8"/>
  <c r="E3" i="8" s="1"/>
  <c r="F3" i="8" s="1"/>
  <c r="F2" i="8"/>
  <c r="F8" i="8" s="1"/>
  <c r="E2" i="8"/>
  <c r="D2" i="8"/>
  <c r="D7" i="7"/>
  <c r="E7" i="7" s="1"/>
  <c r="F7" i="7" s="1"/>
  <c r="D6" i="7"/>
  <c r="E6" i="7" s="1"/>
  <c r="F6" i="7" s="1"/>
  <c r="D5" i="7"/>
  <c r="E5" i="7" s="1"/>
  <c r="F5" i="7" s="1"/>
  <c r="F4" i="7"/>
  <c r="E4" i="7"/>
  <c r="D4" i="7"/>
  <c r="D3" i="7"/>
  <c r="E3" i="7" s="1"/>
  <c r="F3" i="7" s="1"/>
  <c r="D2" i="7"/>
  <c r="E2" i="7" s="1"/>
  <c r="F2" i="7" s="1"/>
  <c r="F8" i="7" s="1"/>
  <c r="E7" i="6"/>
  <c r="F7" i="6" s="1"/>
  <c r="D7" i="6"/>
  <c r="D6" i="6"/>
  <c r="E6" i="6" s="1"/>
  <c r="F6" i="6" s="1"/>
  <c r="D5" i="6"/>
  <c r="E5" i="6" s="1"/>
  <c r="F5" i="6" s="1"/>
  <c r="D4" i="6"/>
  <c r="E4" i="6" s="1"/>
  <c r="F4" i="6" s="1"/>
  <c r="E3" i="6"/>
  <c r="F3" i="6" s="1"/>
  <c r="D3" i="6"/>
  <c r="D2" i="6"/>
  <c r="E2" i="6" s="1"/>
  <c r="F2" i="6" s="1"/>
  <c r="D7" i="5"/>
  <c r="E7" i="5" s="1"/>
  <c r="F7" i="5" s="1"/>
  <c r="D6" i="5"/>
  <c r="E6" i="5" s="1"/>
  <c r="F6" i="5" s="1"/>
  <c r="F5" i="5"/>
  <c r="E5" i="5"/>
  <c r="D5" i="5"/>
  <c r="D4" i="5"/>
  <c r="E4" i="5" s="1"/>
  <c r="F4" i="5" s="1"/>
  <c r="D3" i="5"/>
  <c r="E3" i="5" s="1"/>
  <c r="F3" i="5" s="1"/>
  <c r="D2" i="5"/>
  <c r="E2" i="5" s="1"/>
  <c r="F2" i="5" s="1"/>
  <c r="F7" i="4"/>
  <c r="E7" i="4"/>
  <c r="D7" i="4"/>
  <c r="D6" i="4"/>
  <c r="E6" i="4" s="1"/>
  <c r="F6" i="4" s="1"/>
  <c r="D5" i="4"/>
  <c r="E5" i="4" s="1"/>
  <c r="F5" i="4" s="1"/>
  <c r="D4" i="4"/>
  <c r="E4" i="4" s="1"/>
  <c r="F4" i="4" s="1"/>
  <c r="F3" i="4"/>
  <c r="E3" i="4"/>
  <c r="D3" i="4"/>
  <c r="D2" i="4"/>
  <c r="E2" i="4" s="1"/>
  <c r="F2" i="4" s="1"/>
  <c r="F8" i="4" s="1"/>
  <c r="D7" i="3"/>
  <c r="E7" i="3" s="1"/>
  <c r="F7" i="3" s="1"/>
  <c r="E6" i="3"/>
  <c r="F6" i="3" s="1"/>
  <c r="D6" i="3"/>
  <c r="D5" i="3"/>
  <c r="E5" i="3" s="1"/>
  <c r="F5" i="3" s="1"/>
  <c r="D4" i="3"/>
  <c r="E4" i="3" s="1"/>
  <c r="F4" i="3" s="1"/>
  <c r="D3" i="3"/>
  <c r="E3" i="3" s="1"/>
  <c r="F3" i="3" s="1"/>
  <c r="E2" i="3"/>
  <c r="F2" i="3" s="1"/>
  <c r="D2" i="3"/>
  <c r="D7" i="2"/>
  <c r="E7" i="2" s="1"/>
  <c r="F7" i="2" s="1"/>
  <c r="D6" i="2"/>
  <c r="E6" i="2" s="1"/>
  <c r="F6" i="2" s="1"/>
  <c r="D5" i="2"/>
  <c r="E5" i="2" s="1"/>
  <c r="F5" i="2" s="1"/>
  <c r="F4" i="2"/>
  <c r="E4" i="2"/>
  <c r="D4" i="2"/>
  <c r="D3" i="2"/>
  <c r="E3" i="2" s="1"/>
  <c r="F3" i="2" s="1"/>
  <c r="D2" i="2"/>
  <c r="E2" i="2" s="1"/>
  <c r="F2" i="2" s="1"/>
  <c r="F8" i="3" l="1"/>
  <c r="F8" i="6"/>
  <c r="F8" i="9"/>
  <c r="F8" i="2"/>
  <c r="F8" i="5"/>
</calcChain>
</file>

<file path=xl/sharedStrings.xml><?xml version="1.0" encoding="utf-8"?>
<sst xmlns="http://schemas.openxmlformats.org/spreadsheetml/2006/main" count="298" uniqueCount="50">
  <si>
    <t>Class</t>
  </si>
  <si>
    <t>Assessments</t>
  </si>
  <si>
    <t>Evidences</t>
  </si>
  <si>
    <t>Weighted Grade</t>
  </si>
  <si>
    <t>Letter Grade</t>
  </si>
  <si>
    <t>GPA</t>
  </si>
  <si>
    <t>Hon English</t>
  </si>
  <si>
    <t>Physics</t>
  </si>
  <si>
    <t>Hon Geometry</t>
  </si>
  <si>
    <t>History</t>
  </si>
  <si>
    <t>Peak</t>
  </si>
  <si>
    <t>Sport Officiating</t>
  </si>
  <si>
    <t>Overall GPA</t>
  </si>
  <si>
    <t>Noah Weekly Grades – Dashboard</t>
  </si>
  <si>
    <t>KPI Summary (Current Week)</t>
  </si>
  <si>
    <t>Weighted Grade (Current)</t>
  </si>
  <si>
    <t>GPA (Current)</t>
  </si>
  <si>
    <t>Last Δ (Weighted)</t>
  </si>
  <si>
    <t>Last Δ (GPA)</t>
  </si>
  <si>
    <t>Trend (Weighted Grade)</t>
  </si>
  <si>
    <t>Week</t>
  </si>
  <si>
    <t>01/03/2026</t>
  </si>
  <si>
    <t>11/01/2025</t>
  </si>
  <si>
    <t>11/07/2025</t>
  </si>
  <si>
    <t>11/14/2025</t>
  </si>
  <si>
    <t>11/21/2025</t>
  </si>
  <si>
    <t>11/28/2025</t>
  </si>
  <si>
    <t>12/13/2025</t>
  </si>
  <si>
    <t>12/27/2025</t>
  </si>
  <si>
    <t>Trend (GPA)</t>
  </si>
  <si>
    <t>Δ Weighted Grade</t>
  </si>
  <si>
    <t>Δ GPA</t>
  </si>
  <si>
    <t>First Week</t>
  </si>
  <si>
    <t>Last Week</t>
  </si>
  <si>
    <t>Weighted Grade (First)</t>
  </si>
  <si>
    <t>Weighted Grade (Last)</t>
  </si>
  <si>
    <t>Overall Δ Weighted Grade</t>
  </si>
  <si>
    <t>Last Δ Weighted Grade</t>
  </si>
  <si>
    <t>GPA (First)</t>
  </si>
  <si>
    <t>GPA (Last)</t>
  </si>
  <si>
    <t>Overall Δ GPA</t>
  </si>
  <si>
    <t>Last Δ GPA</t>
  </si>
  <si>
    <t>Current GPA</t>
  </si>
  <si>
    <t>Target Letter Grade</t>
  </si>
  <si>
    <t>Target GPA</t>
  </si>
  <si>
    <t>Projected Overall GPA</t>
  </si>
  <si>
    <t>Meets 3.5 Target (Yes/No)</t>
  </si>
  <si>
    <t>B</t>
  </si>
  <si>
    <t>B+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</si>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</sst>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8"/>
      <color theme="1"/>
      <name val="Aptos ExtraBold"/>
      <family val="2"/>
    </font>
    <font>
      <b/>
      <sz val="16"/>
      <name val="Calibri"/>
    </font>
    <font>
      <b/>
      <sz val="12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10" fontId="1" fillId="0" borderId="3" xfId="0" applyNumberFormat="1" applyFont="1" applyBorder="1"/>
    <xf numFmtId="0" fontId="1" fillId="0" borderId="1" xfId="0" applyFont="1" applyBorder="1"/>
    <xf numFmtId="10" fontId="1" fillId="0" borderId="1" xfId="0" applyNumberFormat="1" applyFont="1" applyBorder="1"/>
    <xf numFmtId="0" fontId="1" fillId="2" borderId="0" xfId="0" applyFont="1" applyFill="1"/>
    <xf numFmtId="164" fontId="1" fillId="0" borderId="3" xfId="0" applyNumberFormat="1" applyFont="1" applyBorder="1"/>
    <xf numFmtId="164" fontId="1" fillId="2" borderId="0" xfId="0" applyNumberFormat="1" applyFont="1" applyFill="1"/>
    <xf numFmtId="2" fontId="1" fillId="0" borderId="3" xfId="0" applyNumberFormat="1" applyFont="1" applyBorder="1"/>
    <xf numFmtId="2" fontId="1" fillId="0" borderId="1" xfId="0" applyNumberFormat="1" applyFont="1" applyBorder="1"/>
    <xf numFmtId="2" fontId="1" fillId="2" borderId="0" xfId="0" applyNumberFormat="1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14" fontId="0" fillId="0" borderId="0" xfId="0" applyNumberFormat="1"/>
    <xf numFmtId="0" fontId="0" fillId="0" borderId="0" xfId="0" applyAlignment="1">
      <alignment horizontal="center"/>
    </xf>
    <xf numFmtId="0" fontId="0" fillId="3" borderId="0" xfId="0" applyFill="1"/>
  </cellXfs>
  <cellStyles count="1">
    <cellStyle name="Normal" xfId="0" builtinId="0"/>
  </cellStyles>
  <dxfs count="38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val>
            <c:numRef>
              <c:f>'Weekly Changes'!$C$2:$C$9</c:f>
              <c:numCache>
                <c:formatCode>General</c:formatCode>
                <c:ptCount val="8"/>
                <c:pt idx="0">
                  <c:v>0.83830000000000005</c:v>
                </c:pt>
                <c:pt idx="1">
                  <c:v>0.83135000000000003</c:v>
                </c:pt>
                <c:pt idx="2">
                  <c:v>0.85055000000000003</c:v>
                </c:pt>
                <c:pt idx="3">
                  <c:v>0.85055000000000003</c:v>
                </c:pt>
                <c:pt idx="4">
                  <c:v>0.85055000000000003</c:v>
                </c:pt>
                <c:pt idx="5">
                  <c:v>0.84410000000000007</c:v>
                </c:pt>
                <c:pt idx="6">
                  <c:v>0.84410000000000007</c:v>
                </c:pt>
                <c:pt idx="7">
                  <c:v>0.84410000000000007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F99-4363-BAF8-8DF92A12E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val>
            <c:numRef>
              <c:f>'Weekly Changes'!$E$2:$E$9</c:f>
              <c:numCache>
                <c:formatCode>General</c:formatCode>
                <c:ptCount val="8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50F-42E3-B517-75CA53E1B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val>
            <c:numRef>
              <c:f>'Weekly Changes'!$C$10:$C$17</c:f>
              <c:numCache>
                <c:formatCode>General</c:formatCode>
                <c:ptCount val="8"/>
                <c:pt idx="0">
                  <c:v>0.755</c:v>
                </c:pt>
                <c:pt idx="1">
                  <c:v>0.81137500000000007</c:v>
                </c:pt>
                <c:pt idx="2">
                  <c:v>0.8115500000000001</c:v>
                </c:pt>
                <c:pt idx="3">
                  <c:v>0.8115500000000001</c:v>
                </c:pt>
                <c:pt idx="4">
                  <c:v>0.80882500000000013</c:v>
                </c:pt>
                <c:pt idx="5">
                  <c:v>0.80882500000000013</c:v>
                </c:pt>
                <c:pt idx="6">
                  <c:v>0.80882500000000013</c:v>
                </c:pt>
                <c:pt idx="7">
                  <c:v>0.80882500000000013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1A-4693-9F79-CA5922C2E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val>
            <c:numRef>
              <c:f>'Weekly Changes'!$E$10:$E$17</c:f>
              <c:numCache>
                <c:formatCode>General</c:formatCode>
                <c:ptCount val="8"/>
                <c:pt idx="0">
                  <c:v>2</c:v>
                </c:pt>
                <c:pt idx="1">
                  <c:v>2.7</c:v>
                </c:pt>
                <c:pt idx="2">
                  <c:v>2.6669999999999998</c:v>
                </c:pt>
                <c:pt idx="3">
                  <c:v>2.6669999999999998</c:v>
                </c:pt>
                <c:pt idx="4">
                  <c:v>2.6669999999999998</c:v>
                </c:pt>
                <c:pt idx="5">
                  <c:v>2.6669999999999998</c:v>
                </c:pt>
                <c:pt idx="6">
                  <c:v>2.6669999999999998</c:v>
                </c:pt>
                <c:pt idx="7">
                  <c:v>2.6669999999999998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77E-463D-8E35-3328865F2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val>
            <c:numRef>
              <c:f>'Weekly Changes'!$C$18:$C$25</c:f>
              <c:numCache>
                <c:formatCode>General</c:formatCode>
                <c:ptCount val="8"/>
                <c:pt idx="0">
                  <c:v>0.90270000000000006</c:v>
                </c:pt>
                <c:pt idx="1">
                  <c:v>0.92547500000000005</c:v>
                </c:pt>
                <c:pt idx="2">
                  <c:v>0.91907499999999998</c:v>
                </c:pt>
                <c:pt idx="3">
                  <c:v>0.91962499999999991</c:v>
                </c:pt>
                <c:pt idx="4">
                  <c:v>0.91907499999999998</c:v>
                </c:pt>
                <c:pt idx="5">
                  <c:v>0.89452500000000001</c:v>
                </c:pt>
                <c:pt idx="6">
                  <c:v>0.91365000000000007</c:v>
                </c:pt>
                <c:pt idx="7">
                  <c:v>0.89452500000000001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51A-46CC-B338-C5F470DED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val>
            <c:numRef>
              <c:f>'Weekly Changes'!$E$18:$E$25</c:f>
              <c:numCache>
                <c:formatCode>General</c:formatCode>
                <c:ptCount val="8"/>
                <c:pt idx="0">
                  <c:v>3.7</c:v>
                </c:pt>
                <c:pt idx="1">
                  <c:v>3.7</c:v>
                </c:pt>
                <c:pt idx="2">
                  <c:v>3.6669999999999998</c:v>
                </c:pt>
                <c:pt idx="3">
                  <c:v>3.6669999999999998</c:v>
                </c:pt>
                <c:pt idx="4">
                  <c:v>3.6669999999999998</c:v>
                </c:pt>
                <c:pt idx="5">
                  <c:v>3.3330000000000002</c:v>
                </c:pt>
                <c:pt idx="6">
                  <c:v>3.6669999999999998</c:v>
                </c:pt>
                <c:pt idx="7">
                  <c:v>3.3330000000000002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F64-4EAC-8F35-23A7A26A5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val>
            <c:numRef>
              <c:f>'Weekly Changes'!$C$26:$C$33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DB8-43D1-B27A-C026C4BD3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val>
            <c:numRef>
              <c:f>'Weekly Changes'!$E$26:$E$33</c:f>
              <c:numCache>
                <c:formatCode>General</c:formatCode>
                <c:ptCount val="8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CEE-4FF1-B77D-11910400A3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val>
            <c:numRef>
              <c:f>'Weekly Changes'!$C$34:$C$41</c:f>
              <c:numCache>
                <c:formatCode>General</c:formatCode>
                <c:ptCount val="8"/>
                <c:pt idx="0">
                  <c:v>0.84772500000000006</c:v>
                </c:pt>
                <c:pt idx="1">
                  <c:v>0.86512500000000003</c:v>
                </c:pt>
                <c:pt idx="2">
                  <c:v>0.87649999999999995</c:v>
                </c:pt>
                <c:pt idx="3">
                  <c:v>0.86599999999999999</c:v>
                </c:pt>
                <c:pt idx="4">
                  <c:v>0.87649999999999995</c:v>
                </c:pt>
                <c:pt idx="5">
                  <c:v>0.79107499999999997</c:v>
                </c:pt>
                <c:pt idx="6">
                  <c:v>0.79107499999999997</c:v>
                </c:pt>
                <c:pt idx="7">
                  <c:v>0.79107499999999997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C21-4928-A2A0-1CF1C9974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val>
            <c:numRef>
              <c:f>'Weekly Changes'!$E$34:$E$41</c:f>
              <c:numCache>
                <c:formatCode>General</c:formatCode>
                <c:ptCount val="8"/>
                <c:pt idx="0">
                  <c:v>3</c:v>
                </c:pt>
                <c:pt idx="1">
                  <c:v>3</c:v>
                </c:pt>
                <c:pt idx="2">
                  <c:v>3.3330000000000002</c:v>
                </c:pt>
                <c:pt idx="3">
                  <c:v>3</c:v>
                </c:pt>
                <c:pt idx="4">
                  <c:v>3.3330000000000002</c:v>
                </c:pt>
                <c:pt idx="5">
                  <c:v>2.3330000000000002</c:v>
                </c:pt>
                <c:pt idx="6">
                  <c:v>2.3330000000000002</c:v>
                </c:pt>
                <c:pt idx="7">
                  <c:v>2.3330000000000002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8C6-48A9-9C0C-26B736BC3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val>
            <c:numRef>
              <c:f>'Weekly Changes'!$C$42:$C$49</c:f>
              <c:numCache>
                <c:formatCode>General</c:formatCode>
                <c:ptCount val="8"/>
                <c:pt idx="0">
                  <c:v>0.886625</c:v>
                </c:pt>
                <c:pt idx="1">
                  <c:v>0.88622500000000004</c:v>
                </c:pt>
                <c:pt idx="2">
                  <c:v>0.88622500000000004</c:v>
                </c:pt>
                <c:pt idx="3">
                  <c:v>0.88622500000000004</c:v>
                </c:pt>
                <c:pt idx="4">
                  <c:v>0.88622500000000004</c:v>
                </c:pt>
                <c:pt idx="5">
                  <c:v>0.88235000000000008</c:v>
                </c:pt>
                <c:pt idx="6">
                  <c:v>0.88235000000000008</c:v>
                </c:pt>
                <c:pt idx="7">
                  <c:v>0.88235000000000008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C20-4F64-93ED-3E0D391FC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val>
            <c:numRef>
              <c:f>'Weekly Changes'!$E$42:$E$49</c:f>
              <c:numCache>
                <c:formatCode>General</c:formatCode>
                <c:ptCount val="8"/>
                <c:pt idx="0">
                  <c:v>3.3</c:v>
                </c:pt>
                <c:pt idx="1">
                  <c:v>3.3</c:v>
                </c:pt>
                <c:pt idx="2">
                  <c:v>3.3330000000000002</c:v>
                </c:pt>
                <c:pt idx="3">
                  <c:v>3.3330000000000002</c:v>
                </c:pt>
                <c:pt idx="4">
                  <c:v>3.3330000000000002</c:v>
                </c:pt>
                <c:pt idx="5">
                  <c:v>3.3330000000000002</c:v>
                </c:pt>
                <c:pt idx="6">
                  <c:v>3.3330000000000002</c:v>
                </c:pt>
                <c:pt idx="7">
                  <c:v>3.3330000000000002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89C-4006-8F7E-9FABB7FEB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4</xdr:row>
      <xdr:rowOff>0</xdr:rowOff>
    </xdr:from>
    <xdr:ext cx="5040000" cy="12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4</xdr:row>
      <xdr:rowOff>0</xdr:rowOff>
    </xdr:from>
    <xdr:ext cx="5040000" cy="12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0</xdr:colOff>
      <xdr:row>5</xdr:row>
      <xdr:rowOff>0</xdr:rowOff>
    </xdr:from>
    <xdr:ext cx="5040000" cy="12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4</xdr:col>
      <xdr:colOff>0</xdr:colOff>
      <xdr:row>5</xdr:row>
      <xdr:rowOff>0</xdr:rowOff>
    </xdr:from>
    <xdr:ext cx="5040000" cy="12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3</xdr:col>
      <xdr:colOff>0</xdr:colOff>
      <xdr:row>6</xdr:row>
      <xdr:rowOff>0</xdr:rowOff>
    </xdr:from>
    <xdr:ext cx="5040000" cy="126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4</xdr:col>
      <xdr:colOff>0</xdr:colOff>
      <xdr:row>6</xdr:row>
      <xdr:rowOff>0</xdr:rowOff>
    </xdr:from>
    <xdr:ext cx="5040000" cy="126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3</xdr:col>
      <xdr:colOff>0</xdr:colOff>
      <xdr:row>7</xdr:row>
      <xdr:rowOff>0</xdr:rowOff>
    </xdr:from>
    <xdr:ext cx="5040000" cy="126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4</xdr:col>
      <xdr:colOff>0</xdr:colOff>
      <xdr:row>7</xdr:row>
      <xdr:rowOff>0</xdr:rowOff>
    </xdr:from>
    <xdr:ext cx="5040000" cy="126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3</xdr:col>
      <xdr:colOff>0</xdr:colOff>
      <xdr:row>8</xdr:row>
      <xdr:rowOff>0</xdr:rowOff>
    </xdr:from>
    <xdr:ext cx="5040000" cy="126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4</xdr:col>
      <xdr:colOff>0</xdr:colOff>
      <xdr:row>8</xdr:row>
      <xdr:rowOff>0</xdr:rowOff>
    </xdr:from>
    <xdr:ext cx="5040000" cy="126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3</xdr:col>
      <xdr:colOff>0</xdr:colOff>
      <xdr:row>9</xdr:row>
      <xdr:rowOff>0</xdr:rowOff>
    </xdr:from>
    <xdr:ext cx="5040000" cy="126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4</xdr:col>
      <xdr:colOff>0</xdr:colOff>
      <xdr:row>9</xdr:row>
      <xdr:rowOff>0</xdr:rowOff>
    </xdr:from>
    <xdr:ext cx="5040000" cy="126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G31" sqref="G31"/>
    </sheetView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zoomScaleNormal="100" workbookViewId="0">
      <selection activeCell="J13" sqref="J13"/>
    </sheetView>
  </sheetViews>
  <sheetFormatPr defaultRowHeight="15"/>
  <cols>
    <col min="1" max="1" width="28.42578125" customWidth="1"/>
    <col min="2" max="2" width="21.28515625" customWidth="1"/>
    <col min="3" max="3" width="17.42578125" customWidth="1"/>
    <col min="4" max="4" width="26.42578125" customWidth="1"/>
    <col min="5" max="5" width="21.85546875" customWidth="1"/>
    <col min="6" max="6" width="11.85546875" customWidth="1"/>
  </cols>
  <sheetData>
    <row r="1" spans="1:6" ht="74.25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4" customHeight="1">
      <c r="A2" s="2" t="s">
        <v>6</v>
      </c>
      <c r="B2" s="3">
        <v>0.8</v>
      </c>
      <c r="C2" s="3">
        <v>0.83530000000000004</v>
      </c>
      <c r="D2" s="3">
        <f t="shared" ref="D2:D7" si="0">SUM(B2*0.75)+(C2*0.25)</f>
        <v>0.80882500000000013</v>
      </c>
      <c r="E2" s="2" t="str">
        <f t="shared" ref="E2:E7" si="1">IF(D2&gt;=93%,"A",IF(D2&gt;=90%,"A-",IF(D2&gt;=87%,"B+",IF(D2&gt;=83%,"B",IF(D2&gt;=80%,"B-",IF(D2&gt;=77%,"C+",IF(D2&gt;=73%,"C",IF(D2&gt;=70%,"C-",IF(D2&gt;=67%,"D+",IF(D2&gt;=63%,"D",IF(D2&gt;=60%,"D-","F")))))))))))</f>
        <v>B-</v>
      </c>
      <c r="F2" s="7">
        <f>IF(E2="A+",4,IF(E2="A",4,IF(E2="A-",3.667,IF(E2="B+",3.333,IF(E2="B",3,IF(E2="B-",2.667,IF(E2="C+",2.333,IF(E2="C",2,IF(E2="C-",1.667,IF(E2="D+",1.333,IF(E2="D",1,IF(E2="D-",0.667,0))))))))))))</f>
        <v>2.6669999999999998</v>
      </c>
    </row>
    <row r="3" spans="1:6" ht="24" customHeight="1">
      <c r="A3" s="4" t="s">
        <v>7</v>
      </c>
      <c r="B3" s="5">
        <v>0.74329999999999996</v>
      </c>
      <c r="C3" s="5">
        <v>0.93440000000000001</v>
      </c>
      <c r="D3" s="5">
        <f t="shared" si="0"/>
        <v>0.79107499999999997</v>
      </c>
      <c r="E3" s="2" t="str">
        <f t="shared" si="1"/>
        <v>C+</v>
      </c>
      <c r="F3" s="7">
        <f>IF(E3="A+",4,IF(E3="A",4,IF(E3="A-",3.667,IF(E3="B+",3.333,IF(E3="B",3,IF(E3="B-",2.667,IF(E3="C+",2.333,IF(E3="C",2,IF(E3="C-",1.667,IF(E3="D+",1.333,IF(E3="D",1,IF(E3="D-",0.667,0))))))))))))</f>
        <v>2.3330000000000002</v>
      </c>
    </row>
    <row r="4" spans="1:6" ht="24" customHeight="1">
      <c r="A4" s="4" t="s">
        <v>8</v>
      </c>
      <c r="B4" s="5">
        <v>0.88300000000000001</v>
      </c>
      <c r="C4" s="5">
        <v>0.92910000000000004</v>
      </c>
      <c r="D4" s="5">
        <f t="shared" si="0"/>
        <v>0.89452500000000001</v>
      </c>
      <c r="E4" s="2" t="str">
        <f t="shared" si="1"/>
        <v>B+</v>
      </c>
      <c r="F4" s="7">
        <f>IF(E4="A+",4,IF(E4="A",4,IF(E4="A-",3.667,IF(E4="B+",3.333,IF(E4="B",3,IF(E4="B-",2.667,IF(E4="C+",2.333,IF(E4="C",2,IF(E4="C-",1.667,IF(E4="D+",1.333,IF(E4="D",1,IF(E4="D-",0.667,0))))))))))))</f>
        <v>3.3330000000000002</v>
      </c>
    </row>
    <row r="5" spans="1:6" ht="24" customHeight="1">
      <c r="A5" s="4" t="s">
        <v>9</v>
      </c>
      <c r="B5" s="5">
        <v>0.86250000000000004</v>
      </c>
      <c r="C5" s="5">
        <v>0.78890000000000005</v>
      </c>
      <c r="D5" s="5">
        <f t="shared" si="0"/>
        <v>0.84410000000000007</v>
      </c>
      <c r="E5" s="2" t="str">
        <f t="shared" si="1"/>
        <v>B</v>
      </c>
      <c r="F5" s="7">
        <f>IF(E5="A",5,IF(E5="A-",4.667,IF(E5="B+",4.333,IF(E5="B",4,IF(E5="B-",3.667,IF(E5="C+",3.333,IF(E5="C",3,IF(E5="C-",2.667,IF(E5="D+",1.333,IF(E5="D",1,IF(E5="D-",0.667,0)))))))))))</f>
        <v>4</v>
      </c>
    </row>
    <row r="6" spans="1:6" ht="24" customHeight="1">
      <c r="A6" s="4" t="s">
        <v>10</v>
      </c>
      <c r="B6" s="5">
        <v>1</v>
      </c>
      <c r="C6" s="5">
        <v>1</v>
      </c>
      <c r="D6" s="5">
        <f t="shared" si="0"/>
        <v>1</v>
      </c>
      <c r="E6" s="2" t="str">
        <f t="shared" si="1"/>
        <v>A</v>
      </c>
      <c r="F6" s="7">
        <f>IF(E6="A+",4,IF(E6="A",4,IF(E6="A-",3.667,IF(E6="B+",3.333,IF(E6="B",3,IF(E6="B-",2.667,IF(E6="C+",2.333,IF(E6="C",2,IF(E6="C-",1.667,IF(E6="D+",1.333,IF(E6="D",1,IF(E6="D-",0.667,0))))))))))))</f>
        <v>4</v>
      </c>
    </row>
    <row r="7" spans="1:6" ht="24" customHeight="1">
      <c r="A7" s="4" t="s">
        <v>11</v>
      </c>
      <c r="B7" s="5">
        <v>0.83330000000000004</v>
      </c>
      <c r="C7" s="5">
        <v>1.0295000000000001</v>
      </c>
      <c r="D7" s="5">
        <f t="shared" si="0"/>
        <v>0.88235000000000008</v>
      </c>
      <c r="E7" s="2" t="str">
        <f t="shared" si="1"/>
        <v>B+</v>
      </c>
      <c r="F7" s="7">
        <f>IF(E7="A+",4,IF(E7="A",4,IF(E7="A-",3.667,IF(E7="B+",3.333,IF(E7="B",3,IF(E7="B-",2.667,IF(E7="C+",2.333,IF(E7="C",2,IF(E7="C-",1.667,IF(E7="D+",1.333,IF(E7="D",1,IF(E7="D-",0.667,0))))))))))))</f>
        <v>3.3330000000000002</v>
      </c>
    </row>
    <row r="8" spans="1:6" ht="24" customHeight="1">
      <c r="A8" s="6" t="s">
        <v>12</v>
      </c>
      <c r="B8" s="6"/>
      <c r="C8" s="6"/>
      <c r="D8" s="6"/>
      <c r="E8" s="6"/>
      <c r="F8" s="8">
        <f>AVERAGE(F2:F7)</f>
        <v>3.2776666666666663</v>
      </c>
    </row>
  </sheetData>
  <conditionalFormatting sqref="E2:E7">
    <cfRule type="expression" dxfId="37" priority="1">
      <formula>OR(E2="C",E2="C-",E2="D+",E2="D",E2="D-",E2="F")</formula>
    </cfRule>
    <cfRule type="expression" dxfId="36" priority="2">
      <formula>OR(E2="C+")</formula>
    </cfRule>
    <cfRule type="expression" dxfId="35" priority="3">
      <formula>OR(E2="B",E2="B-")</formula>
    </cfRule>
    <cfRule type="expression" dxfId="34" priority="4">
      <formula>OR(E2="A+",E2="A",E2="A-",E2="B+")</formula>
    </cfRule>
  </conditionalFormatting>
  <pageMargins left="0.25" right="0.25" top="0.75" bottom="0.75" header="0.3" footer="0.3"/>
  <pageSetup orientation="landscape"/>
  <headerFooter>
    <oddHeader>&amp;C&amp;"Aptos ExtraBold,Regular"&amp;18 Noah Blakley
Grades Analysis
Week Ending 1/3/26&amp;R&amp;"Aptos ExtraBold,Regular"&amp;18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D19" sqref="D19"/>
    </sheetView>
  </sheetViews>
  <sheetFormatPr defaultRowHeight="15"/>
  <cols>
    <col min="1" max="1" width="28.42578125" customWidth="1"/>
    <col min="2" max="2" width="21.28515625" customWidth="1"/>
    <col min="3" max="3" width="17.42578125" customWidth="1"/>
    <col min="4" max="4" width="26.42578125" customWidth="1"/>
    <col min="5" max="5" width="21.85546875" customWidth="1"/>
    <col min="6" max="6" width="11.85546875" customWidth="1"/>
  </cols>
  <sheetData>
    <row r="1" spans="1:6" ht="24.75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4" customHeight="1">
      <c r="A2" s="2" t="s">
        <v>6</v>
      </c>
      <c r="B2" s="3">
        <v>0.8</v>
      </c>
      <c r="C2" s="3">
        <v>0.83530000000000004</v>
      </c>
      <c r="D2" s="3">
        <f t="shared" ref="D2:D7" si="0">SUM(B2*0.75)+(C2*0.25)</f>
        <v>0.80882500000000013</v>
      </c>
      <c r="E2" s="2" t="str">
        <f t="shared" ref="E2:E7" si="1">IF(D2&gt;=93%,"A",IF(D2&gt;=90%,"A-",IF(D2&gt;=87%,"B+",IF(D2&gt;=83%,"B",IF(D2&gt;=80%,"B-",IF(D2&gt;=77%,"C+",IF(D2&gt;=73%,"C",IF(D2&gt;=70%,"C-",IF(D2&gt;=67%,"D+",IF(D2&gt;=63%,"D",IF(D2&gt;=60%,"D-","F")))))))))))</f>
        <v>B-</v>
      </c>
      <c r="F2" s="7">
        <f>IF(E2="A+",4,IF(E2="A",4,IF(E2="A-",3.667,IF(E2="B+",3.333,IF(E2="B",3,IF(E2="B-",2.667,IF(E2="C+",2.333,IF(E2="C",2,IF(E2="C-",1.667,IF(E2="D+",1.333,IF(E2="D",1,IF(E2="D-",0.667,0))))))))))))</f>
        <v>2.6669999999999998</v>
      </c>
    </row>
    <row r="3" spans="1:6" ht="24" customHeight="1">
      <c r="A3" s="4" t="s">
        <v>7</v>
      </c>
      <c r="B3" s="5">
        <v>0.74329999999999996</v>
      </c>
      <c r="C3" s="5">
        <v>0.93440000000000001</v>
      </c>
      <c r="D3" s="5">
        <f t="shared" si="0"/>
        <v>0.79107499999999997</v>
      </c>
      <c r="E3" s="2" t="str">
        <f t="shared" si="1"/>
        <v>C+</v>
      </c>
      <c r="F3" s="7">
        <f>IF(E3="A+",4,IF(E3="A",4,IF(E3="A-",3.667,IF(E3="B+",3.333,IF(E3="B",3,IF(E3="B-",2.667,IF(E3="C+",2.333,IF(E3="C",2,IF(E3="C-",1.667,IF(E3="D+",1.333,IF(E3="D",1,IF(E3="D-",0.667,0))))))))))))</f>
        <v>2.3330000000000002</v>
      </c>
    </row>
    <row r="4" spans="1:6" ht="24" customHeight="1">
      <c r="A4" s="4" t="s">
        <v>8</v>
      </c>
      <c r="B4" s="5">
        <v>0.90700000000000003</v>
      </c>
      <c r="C4" s="5">
        <v>0.93359999999999999</v>
      </c>
      <c r="D4" s="5">
        <f t="shared" si="0"/>
        <v>0.91365000000000007</v>
      </c>
      <c r="E4" s="2" t="str">
        <f t="shared" si="1"/>
        <v>A-</v>
      </c>
      <c r="F4" s="7">
        <f>IF(E4="A+",4,IF(E4="A",4,IF(E4="A-",3.667,IF(E4="B+",3.333,IF(E4="B",3,IF(E4="B-",2.667,IF(E4="C+",2.333,IF(E4="C",2,IF(E4="C-",1.667,IF(E4="D+",1.333,IF(E4="D",1,IF(E4="D-",0.667,0))))))))))))</f>
        <v>3.6669999999999998</v>
      </c>
    </row>
    <row r="5" spans="1:6" ht="24" customHeight="1">
      <c r="A5" s="4" t="s">
        <v>9</v>
      </c>
      <c r="B5" s="5">
        <v>0.86250000000000004</v>
      </c>
      <c r="C5" s="5">
        <v>0.78890000000000005</v>
      </c>
      <c r="D5" s="5">
        <f t="shared" si="0"/>
        <v>0.84410000000000007</v>
      </c>
      <c r="E5" s="2" t="str">
        <f t="shared" si="1"/>
        <v>B</v>
      </c>
      <c r="F5" s="7">
        <f>IF(E5="A+",4,IF(E5="A",5,IF(E5="A-",4.667,IF(E5="B+",4.333,IF(E5="B",4,IF(E5="B-",3.667,IF(E5="C+",3.333,IF(E5="C",3,IF(E5="C-",2.667,IF(E5="D+",1.333,IF(E5="D",1,IF(E5="D-",0.667,0))))))))))))</f>
        <v>4</v>
      </c>
    </row>
    <row r="6" spans="1:6" ht="24" customHeight="1">
      <c r="A6" s="4" t="s">
        <v>10</v>
      </c>
      <c r="B6" s="5">
        <v>1</v>
      </c>
      <c r="C6" s="5">
        <v>1</v>
      </c>
      <c r="D6" s="5">
        <f t="shared" si="0"/>
        <v>1</v>
      </c>
      <c r="E6" s="2" t="str">
        <f t="shared" si="1"/>
        <v>A</v>
      </c>
      <c r="F6" s="7">
        <f>IF(E6="A+",4,IF(E6="A",4,IF(E6="A-",3.667,IF(E6="B+",3.333,IF(E6="B",3,IF(E6="B-",2.667,IF(E6="C+",2.333,IF(E6="C",2,IF(E6="C-",1.667,IF(E6="D+",1.333,IF(E6="D",1,IF(E6="D-",0.667,0))))))))))))</f>
        <v>4</v>
      </c>
    </row>
    <row r="7" spans="1:6" ht="24" customHeight="1">
      <c r="A7" s="4" t="s">
        <v>11</v>
      </c>
      <c r="B7" s="5">
        <v>0.83330000000000004</v>
      </c>
      <c r="C7" s="5">
        <v>1.0295000000000001</v>
      </c>
      <c r="D7" s="5">
        <f t="shared" si="0"/>
        <v>0.88235000000000008</v>
      </c>
      <c r="E7" s="2" t="str">
        <f t="shared" si="1"/>
        <v>B+</v>
      </c>
      <c r="F7" s="7">
        <f>IF(E7="A+",4,IF(E7="A",4,IF(E7="A-",3.667,IF(E7="B+",3.333,IF(E7="B",3,IF(E7="B-",2.667,IF(E7="C+",2.333,IF(E7="C",2,IF(E7="C-",1.667,IF(E7="D+",1.333,IF(E7="D",1,IF(E7="D-",0.667,0))))))))))))</f>
        <v>3.3330000000000002</v>
      </c>
    </row>
    <row r="8" spans="1:6" ht="24" customHeight="1">
      <c r="A8" s="6" t="s">
        <v>12</v>
      </c>
      <c r="B8" s="6"/>
      <c r="C8" s="6"/>
      <c r="D8" s="6"/>
      <c r="E8" s="6"/>
      <c r="F8" s="8">
        <f>AVERAGE(F2:F7)</f>
        <v>3.3333333333333335</v>
      </c>
    </row>
  </sheetData>
  <conditionalFormatting sqref="E2:E7">
    <cfRule type="expression" dxfId="33" priority="1">
      <formula>OR(E2="C",E2="C-",E2="D+",E2="D",E2="D-",E2="F")</formula>
    </cfRule>
    <cfRule type="expression" dxfId="32" priority="2">
      <formula>OR(E2="C+")</formula>
    </cfRule>
    <cfRule type="expression" dxfId="31" priority="3">
      <formula>OR(E2="B",E2="B-")</formula>
    </cfRule>
    <cfRule type="expression" dxfId="30" priority="4">
      <formula>OR(E2="A+",E2="A",E2="A-",E2="B+")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>
      <selection activeCell="D19" sqref="D19"/>
    </sheetView>
  </sheetViews>
  <sheetFormatPr defaultRowHeight="15"/>
  <cols>
    <col min="1" max="1" width="28.42578125" customWidth="1"/>
    <col min="2" max="2" width="23" customWidth="1"/>
    <col min="3" max="3" width="17.42578125" customWidth="1"/>
    <col min="4" max="4" width="26.42578125" customWidth="1"/>
    <col min="5" max="5" width="21.85546875" customWidth="1"/>
    <col min="6" max="6" width="11.85546875" customWidth="1"/>
  </cols>
  <sheetData>
    <row r="1" spans="1:6" ht="24.75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4" customHeight="1">
      <c r="A2" s="2" t="s">
        <v>6</v>
      </c>
      <c r="B2" s="3">
        <v>0.8</v>
      </c>
      <c r="C2" s="3">
        <v>0.83530000000000004</v>
      </c>
      <c r="D2" s="3">
        <f t="shared" ref="D2:D7" si="0">SUM(B2*0.75)+(C2*0.25)</f>
        <v>0.80882500000000013</v>
      </c>
      <c r="E2" s="2" t="str">
        <f t="shared" ref="E2:E7" si="1">IF(D2&gt;=93%,"A",IF(D2&gt;=90%,"A-",IF(D2&gt;=87%,"B+",IF(D2&gt;=83%,"B",IF(D2&gt;=80%,"B-",IF(D2&gt;=77%,"C+",IF(D2&gt;=73%,"C",IF(D2&gt;=70%,"C-",IF(D2&gt;=67%,"D+",IF(D2&gt;=63%,"D",IF(D2&gt;=60%,"D-","F")))))))))))</f>
        <v>B-</v>
      </c>
      <c r="F2" s="7">
        <f>IF(E2="A+",4,IF(E2="A",4,IF(E2="A-",3.667,IF(E2="B+",3.333,IF(E2="B",3,IF(E2="B-",2.667,IF(E2="C+",2.333,IF(E2="C",2,IF(E2="C-",1.667,IF(E2="D+",1.333,IF(E2="D",1,IF(E2="D-",0.667,0))))))))))))</f>
        <v>2.6669999999999998</v>
      </c>
    </row>
    <row r="3" spans="1:6" ht="24" customHeight="1">
      <c r="A3" s="4" t="s">
        <v>7</v>
      </c>
      <c r="B3" s="5">
        <v>0.74329999999999996</v>
      </c>
      <c r="C3" s="5">
        <v>0.93440000000000001</v>
      </c>
      <c r="D3" s="5">
        <f t="shared" si="0"/>
        <v>0.79107499999999997</v>
      </c>
      <c r="E3" s="2" t="str">
        <f t="shared" si="1"/>
        <v>C+</v>
      </c>
      <c r="F3" s="7">
        <f>IF(E3="A+",4,IF(E3="A",4,IF(E3="A-",3.667,IF(E3="B+",3.333,IF(E3="B",3,IF(E3="B-",2.667,IF(E3="C+",2.333,IF(E3="C",2,IF(E3="C-",1.667,IF(E3="D+",1.333,IF(E3="D",1,IF(E3="D-",0.667,0))))))))))))</f>
        <v>2.3330000000000002</v>
      </c>
    </row>
    <row r="4" spans="1:6" ht="24" customHeight="1">
      <c r="A4" s="4" t="s">
        <v>8</v>
      </c>
      <c r="B4" s="5">
        <v>0.88300000000000001</v>
      </c>
      <c r="C4" s="5">
        <v>0.92910000000000004</v>
      </c>
      <c r="D4" s="5">
        <f t="shared" si="0"/>
        <v>0.89452500000000001</v>
      </c>
      <c r="E4" s="2" t="str">
        <f t="shared" si="1"/>
        <v>B+</v>
      </c>
      <c r="F4" s="7">
        <f>IF(E4="A+",4,IF(E4="A",4,IF(E4="A-",3.667,IF(E4="B+",3.333,IF(E4="B",3,IF(E4="B-",2.667,IF(E4="C+",2.333,IF(E4="C",2,IF(E4="C-",1.667,IF(E4="D+",1.333,IF(E4="D",1,IF(E4="D-",0.667,0))))))))))))</f>
        <v>3.3330000000000002</v>
      </c>
    </row>
    <row r="5" spans="1:6" ht="24" customHeight="1">
      <c r="A5" s="4" t="s">
        <v>9</v>
      </c>
      <c r="B5" s="5">
        <v>0.86250000000000004</v>
      </c>
      <c r="C5" s="5">
        <v>0.78890000000000005</v>
      </c>
      <c r="D5" s="5">
        <f t="shared" si="0"/>
        <v>0.84410000000000007</v>
      </c>
      <c r="E5" s="2" t="str">
        <f t="shared" si="1"/>
        <v>B</v>
      </c>
      <c r="F5" s="7">
        <f>IF(E5="A+",4,IF(E5="A",5,IF(E5="A-",4.667,IF(E5="B+",4.333,IF(E5="B",4,IF(E5="B-",3.667,IF(E5="C+",3.333,IF(E5="C",3,IF(E5="C-",2.667,IF(E5="D+",1.333,IF(E5="D",1,IF(E5="D-",0.667,0))))))))))))</f>
        <v>4</v>
      </c>
    </row>
    <row r="6" spans="1:6" ht="24" customHeight="1">
      <c r="A6" s="4" t="s">
        <v>10</v>
      </c>
      <c r="B6" s="5">
        <v>1</v>
      </c>
      <c r="C6" s="5">
        <v>1</v>
      </c>
      <c r="D6" s="5">
        <f t="shared" si="0"/>
        <v>1</v>
      </c>
      <c r="E6" s="2" t="str">
        <f t="shared" si="1"/>
        <v>A</v>
      </c>
      <c r="F6" s="7">
        <f>IF(E6="A+",4,IF(E6="A",4,IF(E6="A-",3.667,IF(E6="B+",3.333,IF(E6="B",3,IF(E6="B-",2.667,IF(E6="C+",2.333,IF(E6="C",2,IF(E6="C-",1.667,IF(E6="D+",1.333,IF(E6="D",1,IF(E6="D-",0.667,0))))))))))))</f>
        <v>4</v>
      </c>
    </row>
    <row r="7" spans="1:6" ht="24" customHeight="1">
      <c r="A7" s="4" t="s">
        <v>11</v>
      </c>
      <c r="B7" s="5">
        <v>0.83330000000000004</v>
      </c>
      <c r="C7" s="5">
        <v>1.0295000000000001</v>
      </c>
      <c r="D7" s="5">
        <f t="shared" si="0"/>
        <v>0.88235000000000008</v>
      </c>
      <c r="E7" s="2" t="str">
        <f t="shared" si="1"/>
        <v>B+</v>
      </c>
      <c r="F7" s="7">
        <f>IF(E7="A+",4,IF(E7="A",4,IF(E7="A-",3.667,IF(E7="B+",3.333,IF(E7="B",3,IF(E7="B-",2.667,IF(E7="C+",2.333,IF(E7="C",2,IF(E7="C-",1.667,IF(E7="D+",1.333,IF(E7="D",1,IF(E7="D-",0.667,0))))))))))))</f>
        <v>3.3330000000000002</v>
      </c>
    </row>
    <row r="8" spans="1:6" ht="24" customHeight="1">
      <c r="A8" s="6" t="s">
        <v>12</v>
      </c>
      <c r="B8" s="6"/>
      <c r="C8" s="6"/>
      <c r="D8" s="6"/>
      <c r="E8" s="6"/>
      <c r="F8" s="8">
        <f>AVERAGE(F2:F7)</f>
        <v>3.2776666666666663</v>
      </c>
    </row>
  </sheetData>
  <conditionalFormatting sqref="E2:E7">
    <cfRule type="expression" dxfId="29" priority="1">
      <formula>OR(E2="C",E2="C-",E2="D+",E2="D",E2="D-",E2="F")</formula>
    </cfRule>
    <cfRule type="expression" dxfId="28" priority="2">
      <formula>OR(E2="C+")</formula>
    </cfRule>
    <cfRule type="expression" dxfId="27" priority="3">
      <formula>OR(E2="B",E2="B-")</formula>
    </cfRule>
    <cfRule type="expression" dxfId="26" priority="4">
      <formula>OR(E2="A+",E2="A",E2="A-",E2="B+")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workbookViewId="0">
      <selection activeCell="D22" sqref="D22"/>
    </sheetView>
  </sheetViews>
  <sheetFormatPr defaultRowHeight="15"/>
  <cols>
    <col min="1" max="1" width="28.42578125" customWidth="1"/>
    <col min="2" max="2" width="21.28515625" customWidth="1"/>
    <col min="3" max="3" width="17.42578125" customWidth="1"/>
    <col min="4" max="4" width="26.42578125" customWidth="1"/>
    <col min="5" max="5" width="21.85546875" customWidth="1"/>
    <col min="6" max="6" width="11.85546875" customWidth="1"/>
  </cols>
  <sheetData>
    <row r="1" spans="1:6" ht="24.75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4" customHeight="1">
      <c r="A2" s="2" t="s">
        <v>6</v>
      </c>
      <c r="B2" s="3">
        <v>0.8</v>
      </c>
      <c r="C2" s="3">
        <v>0.83530000000000004</v>
      </c>
      <c r="D2" s="3">
        <f t="shared" ref="D2:D7" si="0">SUM(B2*0.75)+(C2*0.25)</f>
        <v>0.80882500000000013</v>
      </c>
      <c r="E2" s="2" t="str">
        <f t="shared" ref="E2:E7" si="1">IF(D2&gt;=93%,"A",IF(D2&gt;=90%,"A-",IF(D2&gt;=87%,"B+",IF(D2&gt;=83%,"B",IF(D2&gt;=80%,"B-",IF(D2&gt;=77%,"C+",IF(D2&gt;=73%,"C",IF(D2&gt;=70%,"C-",IF(D2&gt;=67%,"D+",IF(D2&gt;=63%,"D",IF(D2&gt;=60%,"D-","F")))))))))))</f>
        <v>B-</v>
      </c>
      <c r="F2" s="7">
        <f>IF(E2="A+",4,IF(E2="A",4,IF(E2="A-",3.667,IF(E2="B+",3.333,IF(E2="B",3,IF(E2="B-",2.667,IF(E2="C+",2.333,IF(E2="C",2,IF(E2="C-",1.667,IF(E2="D+",1.333,IF(E2="D",1,IF(E2="D-",0.667,0))))))))))))</f>
        <v>2.6669999999999998</v>
      </c>
    </row>
    <row r="3" spans="1:6" ht="24" customHeight="1">
      <c r="A3" s="4" t="s">
        <v>7</v>
      </c>
      <c r="B3" s="5">
        <v>0.85209999999999997</v>
      </c>
      <c r="C3" s="5">
        <v>0.94969999999999999</v>
      </c>
      <c r="D3" s="5">
        <f t="shared" si="0"/>
        <v>0.87649999999999995</v>
      </c>
      <c r="E3" s="2" t="str">
        <f t="shared" si="1"/>
        <v>B+</v>
      </c>
      <c r="F3" s="7">
        <f>IF(E3="A+",4,IF(E3="A",4,IF(E3="A-",3.667,IF(E3="B+",3.333,IF(E3="B",3,IF(E3="B-",2.667,IF(E3="C+",2.333,IF(E3="C",2,IF(E3="C-",1.667,IF(E3="D+",1.333,IF(E3="D",1,IF(E3="D-",0.667,0))))))))))))</f>
        <v>3.3330000000000002</v>
      </c>
    </row>
    <row r="4" spans="1:6" ht="24" customHeight="1">
      <c r="A4" s="4" t="s">
        <v>8</v>
      </c>
      <c r="B4" s="5">
        <v>0.91669999999999996</v>
      </c>
      <c r="C4" s="5">
        <v>0.92620000000000002</v>
      </c>
      <c r="D4" s="5">
        <f t="shared" si="0"/>
        <v>0.91907499999999998</v>
      </c>
      <c r="E4" s="2" t="str">
        <f t="shared" si="1"/>
        <v>A-</v>
      </c>
      <c r="F4" s="7">
        <f>IF(E4="A+",4,IF(E4="A",4,IF(E4="A-",3.667,IF(E4="B+",3.333,IF(E4="B",3,IF(E4="B-",2.667,IF(E4="C+",2.333,IF(E4="C",2,IF(E4="C-",1.667,IF(E4="D+",1.333,IF(E4="D",1,IF(E4="D-",0.667,0))))))))))))</f>
        <v>3.6669999999999998</v>
      </c>
    </row>
    <row r="5" spans="1:6" ht="24" customHeight="1">
      <c r="A5" s="4" t="s">
        <v>9</v>
      </c>
      <c r="B5" s="5">
        <v>0.8417</v>
      </c>
      <c r="C5" s="5">
        <v>0.87709999999999999</v>
      </c>
      <c r="D5" s="5">
        <f t="shared" si="0"/>
        <v>0.85055000000000003</v>
      </c>
      <c r="E5" s="2" t="str">
        <f t="shared" si="1"/>
        <v>B</v>
      </c>
      <c r="F5" s="7">
        <f>IF(E5="A+",4,IF(E5="A",5,IF(E5="A-",4.667,IF(E5="B+",4.333,IF(E5="B",4,IF(E5="B-",3.667,IF(E5="C+",3.333,IF(E5="C",3,IF(E5="C-",2.667,IF(E5="D+",1.333,IF(E5="D",1,IF(E5="D-",0.667,0))))))))))))</f>
        <v>4</v>
      </c>
    </row>
    <row r="6" spans="1:6" ht="24" customHeight="1">
      <c r="A6" s="4" t="s">
        <v>10</v>
      </c>
      <c r="B6" s="5">
        <v>1</v>
      </c>
      <c r="C6" s="5">
        <v>1</v>
      </c>
      <c r="D6" s="5">
        <f t="shared" si="0"/>
        <v>1</v>
      </c>
      <c r="E6" s="2" t="str">
        <f t="shared" si="1"/>
        <v>A</v>
      </c>
      <c r="F6" s="7">
        <f>IF(E6="A+",4,IF(E6="A",4,IF(E6="A-",3.667,IF(E6="B+",3.333,IF(E6="B",3,IF(E6="B-",2.667,IF(E6="C+",2.333,IF(E6="C",2,IF(E6="C-",1.667,IF(E6="D+",1.333,IF(E6="D",1,IF(E6="D-",0.667,0))))))))))))</f>
        <v>4</v>
      </c>
    </row>
    <row r="7" spans="1:6" ht="24" customHeight="1">
      <c r="A7" s="4" t="s">
        <v>11</v>
      </c>
      <c r="B7" s="5">
        <v>0.83330000000000004</v>
      </c>
      <c r="C7" s="5">
        <v>1.0449999999999999</v>
      </c>
      <c r="D7" s="5">
        <f t="shared" si="0"/>
        <v>0.88622500000000004</v>
      </c>
      <c r="E7" s="2" t="str">
        <f t="shared" si="1"/>
        <v>B+</v>
      </c>
      <c r="F7" s="7">
        <f>IF(E7="A+",4,IF(E7="A",4,IF(E7="A-",3.667,IF(E7="B+",3.333,IF(E7="B",3,IF(E7="B-",2.667,IF(E7="C+",2.333,IF(E7="C",2,IF(E7="C-",1.667,IF(E7="D+",1.333,IF(E7="D",1,IF(E7="D-",0.667,0))))))))))))</f>
        <v>3.3330000000000002</v>
      </c>
    </row>
    <row r="8" spans="1:6" ht="24" customHeight="1">
      <c r="A8" s="6" t="s">
        <v>12</v>
      </c>
      <c r="B8" s="6"/>
      <c r="C8" s="6"/>
      <c r="D8" s="6"/>
      <c r="E8" s="6"/>
      <c r="F8" s="8">
        <f>AVERAGE(F2:F7)</f>
        <v>3.5</v>
      </c>
    </row>
  </sheetData>
  <conditionalFormatting sqref="E2:E7">
    <cfRule type="expression" dxfId="25" priority="1">
      <formula>OR(E2="C",E2="C-",E2="D+",E2="D",E2="D-",E2="F")</formula>
    </cfRule>
    <cfRule type="expression" dxfId="24" priority="2">
      <formula>OR(E2="C+")</formula>
    </cfRule>
    <cfRule type="expression" dxfId="23" priority="3">
      <formula>OR(E2="B",E2="B-")</formula>
    </cfRule>
    <cfRule type="expression" dxfId="22" priority="4">
      <formula>OR(E2="A+",E2="A",E2="A-",E2="B+")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"/>
  <sheetViews>
    <sheetView workbookViewId="0">
      <selection activeCell="D20" sqref="D20"/>
    </sheetView>
  </sheetViews>
  <sheetFormatPr defaultRowHeight="15"/>
  <cols>
    <col min="1" max="1" width="28.42578125" customWidth="1"/>
    <col min="2" max="2" width="21.28515625" customWidth="1"/>
    <col min="3" max="3" width="17.42578125" customWidth="1"/>
    <col min="4" max="4" width="26.42578125" customWidth="1"/>
    <col min="5" max="5" width="21.85546875" customWidth="1"/>
    <col min="6" max="6" width="11.85546875" customWidth="1"/>
  </cols>
  <sheetData>
    <row r="1" spans="1:6" ht="24.75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4" customHeight="1">
      <c r="A2" s="2" t="s">
        <v>6</v>
      </c>
      <c r="B2" s="3">
        <v>0.8</v>
      </c>
      <c r="C2" s="3">
        <v>0.84619999999999995</v>
      </c>
      <c r="D2" s="3">
        <f t="shared" ref="D2:D7" si="0">SUM(B2*0.75)+(C2*0.25)</f>
        <v>0.8115500000000001</v>
      </c>
      <c r="E2" s="2" t="str">
        <f t="shared" ref="E2:E7" si="1">IF(D2&gt;=93%,"A",IF(D2&gt;=90%,"A-",IF(D2&gt;=87%,"B+",IF(D2&gt;=83%,"B",IF(D2&gt;=80%,"B-",IF(D2&gt;=77%,"C+",IF(D2&gt;=73%,"C",IF(D2&gt;=70%,"C-",IF(D2&gt;=67%,"D+",IF(D2&gt;=63%,"D",IF(D2&gt;=60%,"D-","F")))))))))))</f>
        <v>B-</v>
      </c>
      <c r="F2" s="7">
        <f>IF(E2="A+",4,IF(E2="A",4,IF(E2="A-",3.667,IF(E2="B+",3.333,IF(E2="B",3,IF(E2="B-",2.667,IF(E2="C+",2.333,IF(E2="C",2,IF(E2="C-",1.667,IF(E2="D+",1.333,IF(E2="D",1,IF(E2="D-",0.667,0))))))))))))</f>
        <v>2.6669999999999998</v>
      </c>
    </row>
    <row r="3" spans="1:6" ht="24" customHeight="1">
      <c r="A3" s="4" t="s">
        <v>7</v>
      </c>
      <c r="B3" s="5">
        <v>0.83809999999999996</v>
      </c>
      <c r="C3" s="5">
        <v>0.94969999999999999</v>
      </c>
      <c r="D3" s="5">
        <f t="shared" si="0"/>
        <v>0.86599999999999999</v>
      </c>
      <c r="E3" s="2" t="str">
        <f t="shared" si="1"/>
        <v>B</v>
      </c>
      <c r="F3" s="7">
        <f>IF(E3="A+",4,IF(E3="A",4,IF(E3="A-",3.667,IF(E3="B+",3.333,IF(E3="B",3,IF(E3="B-",2.667,IF(E3="C+",2.333,IF(E3="C",2,IF(E3="C-",1.667,IF(E3="D+",1.333,IF(E3="D",1,IF(E3="D-",0.667,0))))))))))))</f>
        <v>3</v>
      </c>
    </row>
    <row r="4" spans="1:6" ht="24" customHeight="1">
      <c r="A4" s="4" t="s">
        <v>8</v>
      </c>
      <c r="B4" s="5">
        <v>0.91669999999999996</v>
      </c>
      <c r="C4" s="5">
        <v>0.9284</v>
      </c>
      <c r="D4" s="5">
        <f t="shared" si="0"/>
        <v>0.91962499999999991</v>
      </c>
      <c r="E4" s="2" t="str">
        <f t="shared" si="1"/>
        <v>A-</v>
      </c>
      <c r="F4" s="7">
        <f>IF(E4="A+",4,IF(E4="A",4,IF(E4="A-",3.667,IF(E4="B+",3.333,IF(E4="B",3,IF(E4="B-",2.667,IF(E4="C+",2.333,IF(E4="C",2,IF(E4="C-",1.667,IF(E4="D+",1.333,IF(E4="D",1,IF(E4="D-",0.667,0))))))))))))</f>
        <v>3.6669999999999998</v>
      </c>
    </row>
    <row r="5" spans="1:6" ht="24" customHeight="1">
      <c r="A5" s="4" t="s">
        <v>9</v>
      </c>
      <c r="B5" s="5">
        <v>0.8417</v>
      </c>
      <c r="C5" s="5">
        <v>0.87709999999999999</v>
      </c>
      <c r="D5" s="5">
        <f t="shared" si="0"/>
        <v>0.85055000000000003</v>
      </c>
      <c r="E5" s="2" t="str">
        <f t="shared" si="1"/>
        <v>B</v>
      </c>
      <c r="F5" s="7">
        <f>IF(E5="A+",4,IF(E5="A",5,IF(E5="A-",4.667,IF(E5="B+",4.333,IF(E5="B",4,IF(E5="B-",3.667,IF(E5="C+",3.333,IF(E5="C",3,IF(E5="C-",2.667,IF(E5="D+",1.333,IF(E5="D",1,IF(E5="D-",0.667,0))))))))))))</f>
        <v>4</v>
      </c>
    </row>
    <row r="6" spans="1:6" ht="24" customHeight="1">
      <c r="A6" s="4" t="s">
        <v>10</v>
      </c>
      <c r="B6" s="5">
        <v>1</v>
      </c>
      <c r="C6" s="5">
        <v>1</v>
      </c>
      <c r="D6" s="5">
        <f t="shared" si="0"/>
        <v>1</v>
      </c>
      <c r="E6" s="2" t="str">
        <f t="shared" si="1"/>
        <v>A</v>
      </c>
      <c r="F6" s="7">
        <f>IF(E6="A+",4,IF(E6="A",4,IF(E6="A-",3.667,IF(E6="B+",3.333,IF(E6="B",3,IF(E6="B-",2.667,IF(E6="C+",2.333,IF(E6="C",2,IF(E6="C-",1.667,IF(E6="D+",1.333,IF(E6="D",1,IF(E6="D-",0.667,0))))))))))))</f>
        <v>4</v>
      </c>
    </row>
    <row r="7" spans="1:6" ht="24" customHeight="1">
      <c r="A7" s="4" t="s">
        <v>11</v>
      </c>
      <c r="B7" s="5">
        <v>0.83330000000000004</v>
      </c>
      <c r="C7" s="5">
        <v>1.0449999999999999</v>
      </c>
      <c r="D7" s="5">
        <f t="shared" si="0"/>
        <v>0.88622500000000004</v>
      </c>
      <c r="E7" s="2" t="str">
        <f t="shared" si="1"/>
        <v>B+</v>
      </c>
      <c r="F7" s="7">
        <f>IF(E7="A+",4,IF(E7="A",4,IF(E7="A-",3.667,IF(E7="B+",3.333,IF(E7="B",3,IF(E7="B-",2.667,IF(E7="C+",2.333,IF(E7="C",2,IF(E7="C-",1.667,IF(E7="D+",1.333,IF(E7="D",1,IF(E7="D-",0.667,0))))))))))))</f>
        <v>3.3330000000000002</v>
      </c>
    </row>
    <row r="8" spans="1:6" ht="24" customHeight="1">
      <c r="A8" s="6" t="s">
        <v>12</v>
      </c>
      <c r="B8" s="6"/>
      <c r="C8" s="6"/>
      <c r="D8" s="6"/>
      <c r="E8" s="6"/>
      <c r="F8" s="8">
        <f>AVERAGE(F2:F7)</f>
        <v>3.4445000000000001</v>
      </c>
    </row>
  </sheetData>
  <conditionalFormatting sqref="E2:E7">
    <cfRule type="expression" dxfId="21" priority="1">
      <formula>OR(E2="C",E2="C-",E2="D+",E2="D",E2="D-",E2="F")</formula>
    </cfRule>
    <cfRule type="expression" dxfId="20" priority="2">
      <formula>OR(E2="C+")</formula>
    </cfRule>
    <cfRule type="expression" dxfId="19" priority="3">
      <formula>OR(E2="B",E2="B-")</formula>
    </cfRule>
    <cfRule type="expression" dxfId="18" priority="4">
      <formula>OR(E2="A+",E2="A",E2="A-",E2="B+")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"/>
  <sheetViews>
    <sheetView workbookViewId="0">
      <selection activeCell="I22" sqref="I22"/>
    </sheetView>
  </sheetViews>
  <sheetFormatPr defaultRowHeight="15"/>
  <cols>
    <col min="1" max="1" width="28.42578125" customWidth="1"/>
    <col min="2" max="2" width="21.28515625" customWidth="1"/>
    <col min="3" max="3" width="17.42578125" customWidth="1"/>
    <col min="4" max="4" width="26.42578125" customWidth="1"/>
    <col min="5" max="5" width="21.85546875" customWidth="1"/>
    <col min="6" max="6" width="11.85546875" customWidth="1"/>
  </cols>
  <sheetData>
    <row r="1" spans="1:6" ht="24.75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4" customHeight="1">
      <c r="A2" s="2" t="s">
        <v>6</v>
      </c>
      <c r="B2" s="3">
        <v>0.8</v>
      </c>
      <c r="C2" s="3">
        <v>0.84619999999999995</v>
      </c>
      <c r="D2" s="3">
        <f t="shared" ref="D2:D7" si="0">SUM(B2*0.75)+(C2*0.25)</f>
        <v>0.8115500000000001</v>
      </c>
      <c r="E2" s="2" t="str">
        <f t="shared" ref="E2:E7" si="1">IF(D2&gt;=93%,"A",IF(D2&gt;=90%,"A-",IF(D2&gt;=87%,"B+",IF(D2&gt;=83%,"B",IF(D2&gt;=80%,"B-",IF(D2&gt;=77%,"C+",IF(D2&gt;=73%,"C",IF(D2&gt;=70%,"C-",IF(D2&gt;=67%,"D+",IF(D2&gt;=63%,"D",IF(D2&gt;=60%,"D-","F")))))))))))</f>
        <v>B-</v>
      </c>
      <c r="F2" s="7">
        <f>IF(E2="A+",4,IF(E2="A",4,IF(E2="A-",3.667,IF(E2="B+",3.333,IF(E2="B",3,IF(E2="B-",2.667,IF(E2="C+",2.333,IF(E2="C",2,IF(E2="C-",1.667,IF(E2="D+",1.333,IF(E2="D",1,IF(E2="D-",0.667,0))))))))))))</f>
        <v>2.6669999999999998</v>
      </c>
    </row>
    <row r="3" spans="1:6" ht="24" customHeight="1">
      <c r="A3" s="4" t="s">
        <v>7</v>
      </c>
      <c r="B3" s="5">
        <v>0.85209999999999997</v>
      </c>
      <c r="C3" s="5">
        <v>0.94969999999999999</v>
      </c>
      <c r="D3" s="5">
        <f t="shared" si="0"/>
        <v>0.87649999999999995</v>
      </c>
      <c r="E3" s="2" t="str">
        <f t="shared" si="1"/>
        <v>B+</v>
      </c>
      <c r="F3" s="7">
        <f>IF(E3="A+",4,IF(E3="A",4,IF(E3="A-",3.667,IF(E3="B+",3.333,IF(E3="B",3,IF(E3="B-",2.667,IF(E3="C+",2.333,IF(E3="C",2,IF(E3="C-",1.667,IF(E3="D+",1.333,IF(E3="D",1,IF(E3="D-",0.667,0))))))))))))</f>
        <v>3.3330000000000002</v>
      </c>
    </row>
    <row r="4" spans="1:6" ht="24" customHeight="1">
      <c r="A4" s="4" t="s">
        <v>8</v>
      </c>
      <c r="B4" s="5">
        <v>0.91669999999999996</v>
      </c>
      <c r="C4" s="5">
        <v>0.92620000000000002</v>
      </c>
      <c r="D4" s="5">
        <f t="shared" si="0"/>
        <v>0.91907499999999998</v>
      </c>
      <c r="E4" s="2" t="str">
        <f t="shared" si="1"/>
        <v>A-</v>
      </c>
      <c r="F4" s="7">
        <f>IF(E4="A+",4,IF(E4="A",4,IF(E4="A-",3.667,IF(E4="B+",3.333,IF(E4="B",3,IF(E4="B-",2.667,IF(E4="C+",2.333,IF(E4="C",2,IF(E4="C-",1.667,IF(E4="D+",1.333,IF(E4="D",1,IF(E4="D-",0.667,0))))))))))))</f>
        <v>3.6669999999999998</v>
      </c>
    </row>
    <row r="5" spans="1:6" ht="24" customHeight="1">
      <c r="A5" s="4" t="s">
        <v>9</v>
      </c>
      <c r="B5" s="5">
        <v>0.8417</v>
      </c>
      <c r="C5" s="5">
        <v>0.87709999999999999</v>
      </c>
      <c r="D5" s="5">
        <f t="shared" si="0"/>
        <v>0.85055000000000003</v>
      </c>
      <c r="E5" s="2" t="str">
        <f t="shared" si="1"/>
        <v>B</v>
      </c>
      <c r="F5" s="7">
        <f>IF(E5="A+",4,IF(E5="A",5,IF(E5="A-",4.667,IF(E5="B+",4.333,IF(E5="B",4,IF(E5="B-",3.667,IF(E5="C+",3.333,IF(E5="C",3,IF(E5="C-",2.667,IF(E5="D+",1.333,IF(E5="D",1,IF(E5="D-",0.667,0))))))))))))</f>
        <v>4</v>
      </c>
    </row>
    <row r="6" spans="1:6" ht="24" customHeight="1">
      <c r="A6" s="4" t="s">
        <v>10</v>
      </c>
      <c r="B6" s="5">
        <v>1</v>
      </c>
      <c r="C6" s="5">
        <v>1</v>
      </c>
      <c r="D6" s="5">
        <f t="shared" si="0"/>
        <v>1</v>
      </c>
      <c r="E6" s="2" t="str">
        <f t="shared" si="1"/>
        <v>A</v>
      </c>
      <c r="F6" s="7">
        <f>IF(E6="A+",4,IF(E6="A",4,IF(E6="A-",3.667,IF(E6="B+",3.333,IF(E6="B",3,IF(E6="B-",2.667,IF(E6="C+",2.333,IF(E6="C",2,IF(E6="C-",1.667,IF(E6="D+",1.333,IF(E6="D",1,IF(E6="D-",0.667,0))))))))))))</f>
        <v>4</v>
      </c>
    </row>
    <row r="7" spans="1:6" ht="24" customHeight="1">
      <c r="A7" s="4" t="s">
        <v>11</v>
      </c>
      <c r="B7" s="5">
        <v>0.83330000000000004</v>
      </c>
      <c r="C7" s="5">
        <v>1.0449999999999999</v>
      </c>
      <c r="D7" s="5">
        <f t="shared" si="0"/>
        <v>0.88622500000000004</v>
      </c>
      <c r="E7" s="2" t="str">
        <f t="shared" si="1"/>
        <v>B+</v>
      </c>
      <c r="F7" s="7">
        <f>IF(E7="A+",4,IF(E7="A",4,IF(E7="A-",3.667,IF(E7="B+",3.333,IF(E7="B",3,IF(E7="B-",2.667,IF(E7="C+",2.333,IF(E7="C",2,IF(E7="C-",1.667,IF(E7="D+",1.333,IF(E7="D",1,IF(E7="D-",0.667,0))))))))))))</f>
        <v>3.3330000000000002</v>
      </c>
    </row>
    <row r="8" spans="1:6" ht="24" customHeight="1">
      <c r="A8" s="6" t="s">
        <v>12</v>
      </c>
      <c r="B8" s="6"/>
      <c r="C8" s="6"/>
      <c r="D8" s="6"/>
      <c r="E8" s="6"/>
      <c r="F8" s="8">
        <f>AVERAGE(F2:F7)</f>
        <v>3.5</v>
      </c>
    </row>
  </sheetData>
  <conditionalFormatting sqref="E2:E7">
    <cfRule type="expression" dxfId="17" priority="1">
      <formula>OR(E2="C",E2="C-",E2="D+",E2="D",E2="D-",E2="F")</formula>
    </cfRule>
    <cfRule type="expression" dxfId="16" priority="2">
      <formula>OR(E2="C+")</formula>
    </cfRule>
    <cfRule type="expression" dxfId="15" priority="3">
      <formula>OR(E2="B",E2="B-")</formula>
    </cfRule>
    <cfRule type="expression" dxfId="14" priority="4">
      <formula>OR(E2="A+",E2="A",E2="A-",E2="B+")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8"/>
  <sheetViews>
    <sheetView workbookViewId="0">
      <selection activeCell="F6" sqref="F6"/>
    </sheetView>
  </sheetViews>
  <sheetFormatPr defaultRowHeight="15"/>
  <cols>
    <col min="1" max="1" width="28.42578125" customWidth="1"/>
    <col min="2" max="2" width="21.28515625" customWidth="1"/>
    <col min="3" max="3" width="17.42578125" customWidth="1"/>
    <col min="4" max="4" width="26.42578125" customWidth="1"/>
    <col min="5" max="5" width="21.85546875" customWidth="1"/>
    <col min="6" max="6" width="9.5703125" customWidth="1"/>
  </cols>
  <sheetData>
    <row r="1" spans="1:6" ht="24.75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4" customHeight="1">
      <c r="A2" s="2" t="s">
        <v>6</v>
      </c>
      <c r="B2" s="3">
        <v>0.8</v>
      </c>
      <c r="C2" s="3">
        <v>0.84550000000000003</v>
      </c>
      <c r="D2" s="3">
        <f t="shared" ref="D2:D7" si="0">SUM(B2*0.75)+(C2*0.25)</f>
        <v>0.81137500000000007</v>
      </c>
      <c r="E2" s="2" t="str">
        <f t="shared" ref="E2:E7" si="1">IF(D2&gt;=97%,"A+",IF(D2&gt;=93%,"A",IF(D2&gt;=90%,"A-",IF(D2&gt;=87%,"B+",IF(D2&gt;=83%,"B",IF(D2&gt;=80%,"B-",IF(D2&gt;=77%,"C+",IF(D2&gt;=73%,"C",IF(D2&gt;=70%,"C-",IF(D2&gt;=67%,"D+",IF(D2&gt;=63%,"D",IF(D2&gt;=60%,"D-","F"))))))))))))</f>
        <v>B-</v>
      </c>
      <c r="F2" s="9">
        <f>IF(E2="A+",4,IF(E2="A",4,IF(E2="A-",3.7,IF(E2="B+",3.3,IF(E2="B",3,IF(E2="B-",2.7,IF(E2="C+",2.3,IF(E2="C",2,IF(E2="C-",1.7,IF(E2="D+",1.3,IF(E2="D",1,IF(E2="D-",0.7,0))))))))))))</f>
        <v>2.7</v>
      </c>
    </row>
    <row r="3" spans="1:6" ht="24" customHeight="1">
      <c r="A3" s="4" t="s">
        <v>7</v>
      </c>
      <c r="B3" s="5">
        <v>0.83809999999999996</v>
      </c>
      <c r="C3" s="5">
        <v>0.94620000000000004</v>
      </c>
      <c r="D3" s="5">
        <f t="shared" si="0"/>
        <v>0.86512500000000003</v>
      </c>
      <c r="E3" s="4" t="str">
        <f t="shared" si="1"/>
        <v>B</v>
      </c>
      <c r="F3" s="10">
        <f>IF(E3="A+",4,IF(E3="A",4,IF(E3="A-",3.7,IF(E3="B+",3.3,IF(E3="B",3,IF(E3="B-",2.7,IF(E3="C+",2.3,IF(E3="C",2,IF(E3="C-",1.7,IF(E3="D+",1.3,IF(E3="D",1,IF(E3="D-",0.7,0))))))))))))</f>
        <v>3</v>
      </c>
    </row>
    <row r="4" spans="1:6" ht="24" customHeight="1">
      <c r="A4" s="4" t="s">
        <v>8</v>
      </c>
      <c r="B4" s="5">
        <v>0.9284</v>
      </c>
      <c r="C4" s="5">
        <v>0.91669999999999996</v>
      </c>
      <c r="D4" s="5">
        <f t="shared" si="0"/>
        <v>0.92547500000000005</v>
      </c>
      <c r="E4" s="4" t="str">
        <f t="shared" si="1"/>
        <v>A-</v>
      </c>
      <c r="F4" s="10">
        <f>IF(E4="A+",4,IF(E4="A",4,IF(E4="A-",3.7,IF(E4="B+",3.3,IF(E4="B",3,IF(E4="B-",2.7,IF(E4="C+",2.3,IF(E4="C",2,IF(E4="C-",1.7,IF(E4="D+",1.3,IF(E4="D",1,IF(E4="D-",0.7,0))))))))))))</f>
        <v>3.7</v>
      </c>
    </row>
    <row r="5" spans="1:6" ht="24" customHeight="1">
      <c r="A5" s="4" t="s">
        <v>9</v>
      </c>
      <c r="B5" s="5">
        <v>0.81610000000000005</v>
      </c>
      <c r="C5" s="5">
        <v>0.87709999999999999</v>
      </c>
      <c r="D5" s="5">
        <f t="shared" si="0"/>
        <v>0.83135000000000003</v>
      </c>
      <c r="E5" s="4" t="str">
        <f t="shared" si="1"/>
        <v>B</v>
      </c>
      <c r="F5" s="10">
        <f>IF(E5="A",5,IF(E5="A-",4.667,IF(E5="B+",4.333,IF(E5="B",4,IF(E5="B-",3.667,IF(E5="C+",3.333,IF(E5="C",3,IF(E5="C-",2.667,IF(E5="D+",1.333,IF(E5="D",1,IF(E5="D-",0.667,0)))))))))))</f>
        <v>4</v>
      </c>
    </row>
    <row r="6" spans="1:6" ht="24" customHeight="1">
      <c r="A6" s="4" t="s">
        <v>10</v>
      </c>
      <c r="B6" s="5">
        <v>1</v>
      </c>
      <c r="C6" s="5">
        <v>1</v>
      </c>
      <c r="D6" s="5">
        <f t="shared" si="0"/>
        <v>1</v>
      </c>
      <c r="E6" s="4" t="str">
        <f t="shared" si="1"/>
        <v>A+</v>
      </c>
      <c r="F6" s="10">
        <f>IF(E6="A+",4,IF(E6="A",4,IF(E6="A-",3.7,IF(E6="B+",3.3,IF(E6="B",3,IF(E6="B-",2.7,IF(E6="C+",2.3,IF(E6="C",2,IF(E6="C-",1.7,IF(E6="D+",1.3,IF(E6="D",1,IF(E6="D-",0.7,0))))))))))))</f>
        <v>4</v>
      </c>
    </row>
    <row r="7" spans="1:6" ht="24" customHeight="1">
      <c r="A7" s="4" t="s">
        <v>11</v>
      </c>
      <c r="B7" s="5">
        <v>0.83330000000000004</v>
      </c>
      <c r="C7" s="5">
        <v>1.0449999999999999</v>
      </c>
      <c r="D7" s="5">
        <f t="shared" si="0"/>
        <v>0.88622500000000004</v>
      </c>
      <c r="E7" s="4" t="str">
        <f t="shared" si="1"/>
        <v>B+</v>
      </c>
      <c r="F7" s="10">
        <f>IF(E7="A+",4,IF(E7="A",4,IF(E7="A-",3.7,IF(E7="B+",3.3,IF(E7="B",3,IF(E7="B-",2.7,IF(E7="C+",2.3,IF(E7="C",2,IF(E7="C-",1.7,IF(E7="D+",1.3,IF(E7="D",1,IF(E7="D-",0.7,0))))))))))))</f>
        <v>3.3</v>
      </c>
    </row>
    <row r="8" spans="1:6" ht="24" customHeight="1">
      <c r="A8" s="6" t="s">
        <v>12</v>
      </c>
      <c r="B8" s="6"/>
      <c r="C8" s="6"/>
      <c r="D8" s="6"/>
      <c r="E8" s="6"/>
      <c r="F8" s="11">
        <f>AVERAGE(F2:F7)</f>
        <v>3.4499999999999997</v>
      </c>
    </row>
  </sheetData>
  <conditionalFormatting sqref="E2:E7">
    <cfRule type="expression" dxfId="13" priority="1">
      <formula>OR(E2="C",E2="C-",E2="D+",E2="D",E2="D-",E2="F")</formula>
    </cfRule>
    <cfRule type="expression" dxfId="12" priority="2">
      <formula>OR(E2="C+")</formula>
    </cfRule>
    <cfRule type="expression" dxfId="11" priority="3">
      <formula>OR(E2="B",E2="B-")</formula>
    </cfRule>
    <cfRule type="expression" dxfId="10" priority="4">
      <formula>OR(E2="A+",E2="A",E2="A-",E2="B+")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8"/>
  <sheetViews>
    <sheetView workbookViewId="0">
      <selection activeCell="J24" sqref="J24"/>
    </sheetView>
  </sheetViews>
  <sheetFormatPr defaultRowHeight="15"/>
  <cols>
    <col min="1" max="1" width="28.42578125" customWidth="1"/>
    <col min="2" max="2" width="23.140625" customWidth="1"/>
    <col min="3" max="3" width="17.42578125" customWidth="1"/>
    <col min="4" max="4" width="26.42578125" customWidth="1"/>
    <col min="5" max="5" width="21.85546875" customWidth="1"/>
    <col min="6" max="6" width="9.5703125" customWidth="1"/>
  </cols>
  <sheetData>
    <row r="1" spans="1:6" ht="24.75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4" customHeight="1">
      <c r="A2" s="2" t="s">
        <v>6</v>
      </c>
      <c r="B2" s="3">
        <v>0.73</v>
      </c>
      <c r="C2" s="3">
        <v>0.83</v>
      </c>
      <c r="D2" s="3">
        <f t="shared" ref="D2:D7" si="0">SUM(B2*0.75)+(C2*0.25)</f>
        <v>0.755</v>
      </c>
      <c r="E2" s="2" t="str">
        <f t="shared" ref="E2:E7" si="1">IF(D2&gt;=97%,"A+",IF(D2&gt;=93%,"A",IF(D2&gt;=90%,"A-",IF(D2&gt;=87%,"B+",IF(D2&gt;=83%,"B",IF(D2&gt;=80%,"B-",IF(D2&gt;=77%,"C+",IF(D2&gt;=73%,"C",IF(D2&gt;=70%,"C-",IF(D2&gt;=67%,"D+",IF(D2&gt;=63%,"D",IF(D2&gt;=60%,"D-","F"))))))))))))</f>
        <v>C</v>
      </c>
      <c r="F2" s="9">
        <f>IF(E2="A+",4,IF(E2="A",4,IF(E2="A-",3.7,IF(E2="B+",3.3,IF(E2="B",3,IF(E2="B-",2.7,IF(E2="C+",2.3,IF(E2="C",2,IF(E2="C-",1.7,IF(E2="D+",1.3,IF(E2="D",1,IF(E2="D-",0.7,0))))))))))))</f>
        <v>2</v>
      </c>
    </row>
    <row r="3" spans="1:6" ht="24" customHeight="1">
      <c r="A3" s="4" t="s">
        <v>7</v>
      </c>
      <c r="B3" s="5">
        <v>0.81520000000000004</v>
      </c>
      <c r="C3" s="5">
        <v>0.94530000000000003</v>
      </c>
      <c r="D3" s="5">
        <f t="shared" si="0"/>
        <v>0.84772500000000006</v>
      </c>
      <c r="E3" s="4" t="str">
        <f t="shared" si="1"/>
        <v>B</v>
      </c>
      <c r="F3" s="10">
        <f>IF(E3="A+",4,IF(E3="A",4,IF(E3="A-",3.7,IF(E3="B+",3.3,IF(E3="B",3,IF(E3="B-",2.7,IF(E3="C+",2.3,IF(E3="C",2,IF(E3="C-",1.7,IF(E3="D+",1.3,IF(E3="D",1,IF(E3="D-",0.7,0))))))))))))</f>
        <v>3</v>
      </c>
    </row>
    <row r="4" spans="1:6" ht="24" customHeight="1">
      <c r="A4" s="4" t="s">
        <v>8</v>
      </c>
      <c r="B4" s="5">
        <v>0.9</v>
      </c>
      <c r="C4" s="5">
        <v>0.91080000000000005</v>
      </c>
      <c r="D4" s="5">
        <f t="shared" si="0"/>
        <v>0.90270000000000006</v>
      </c>
      <c r="E4" s="4" t="str">
        <f t="shared" si="1"/>
        <v>A-</v>
      </c>
      <c r="F4" s="10">
        <f>IF(E4="A+",4,IF(E4="A",4,IF(E4="A-",3.7,IF(E4="B+",3.3,IF(E4="B",3,IF(E4="B-",2.7,IF(E4="C+",2.3,IF(E4="C",2,IF(E4="C-",1.7,IF(E4="D+",1.3,IF(E4="D",1,IF(E4="D-",0.7,0))))))))))))</f>
        <v>3.7</v>
      </c>
    </row>
    <row r="5" spans="1:6" ht="24" customHeight="1">
      <c r="A5" s="4" t="s">
        <v>9</v>
      </c>
      <c r="B5" s="5">
        <v>0.82379999999999998</v>
      </c>
      <c r="C5" s="5">
        <v>0.88180000000000003</v>
      </c>
      <c r="D5" s="5">
        <f t="shared" si="0"/>
        <v>0.83830000000000005</v>
      </c>
      <c r="E5" s="4" t="str">
        <f t="shared" si="1"/>
        <v>B</v>
      </c>
      <c r="F5" s="10">
        <f>IF(E5="A",5,IF(E5="A-",4.667,IF(E5="B+",4.333,IF(E5="B",4,IF(E5="B-",3.667,IF(E5="C+",3.333,IF(E5="C",3,IF(E5="C-",2.667,IF(E5="D+",1.333,IF(E5="D",1,IF(E5="D-",0.667,0)))))))))))</f>
        <v>4</v>
      </c>
    </row>
    <row r="6" spans="1:6" ht="24" customHeight="1">
      <c r="A6" s="4" t="s">
        <v>10</v>
      </c>
      <c r="B6" s="5">
        <v>1</v>
      </c>
      <c r="C6" s="5">
        <v>1</v>
      </c>
      <c r="D6" s="5">
        <f t="shared" si="0"/>
        <v>1</v>
      </c>
      <c r="E6" s="4" t="str">
        <f t="shared" si="1"/>
        <v>A+</v>
      </c>
      <c r="F6" s="10">
        <f>IF(E6="A+",4,IF(E6="A",4,IF(E6="A-",3.7,IF(E6="B+",3.3,IF(E6="B",3,IF(E6="B-",2.7,IF(E6="C+",2.3,IF(E6="C",2,IF(E6="C-",1.7,IF(E6="D+",1.3,IF(E6="D",1,IF(E6="D-",0.7,0))))))))))))</f>
        <v>4</v>
      </c>
    </row>
    <row r="7" spans="1:6" ht="24" customHeight="1">
      <c r="A7" s="4" t="s">
        <v>11</v>
      </c>
      <c r="B7" s="5">
        <v>0.83330000000000004</v>
      </c>
      <c r="C7" s="5">
        <v>1.0466</v>
      </c>
      <c r="D7" s="5">
        <f t="shared" si="0"/>
        <v>0.886625</v>
      </c>
      <c r="E7" s="4" t="str">
        <f t="shared" si="1"/>
        <v>B+</v>
      </c>
      <c r="F7" s="10">
        <f>IF(E7="A+",4,IF(E7="A",4,IF(E7="A-",3.7,IF(E7="B+",3.3,IF(E7="B",3,IF(E7="B-",2.7,IF(E7="C+",2.3,IF(E7="C",2,IF(E7="C-",1.7,IF(E7="D+",1.3,IF(E7="D",1,IF(E7="D-",0.7,0))))))))))))</f>
        <v>3.3</v>
      </c>
    </row>
    <row r="8" spans="1:6" ht="24" customHeight="1">
      <c r="A8" s="6" t="s">
        <v>12</v>
      </c>
      <c r="B8" s="6"/>
      <c r="C8" s="6"/>
      <c r="D8" s="6"/>
      <c r="E8" s="6"/>
      <c r="F8" s="11">
        <f>AVERAGE(F2:F7)</f>
        <v>3.3333333333333335</v>
      </c>
    </row>
  </sheetData>
  <conditionalFormatting sqref="E2:E7">
    <cfRule type="expression" dxfId="9" priority="1">
      <formula>OR(E2="C",E2="C-",E2="D+",E2="D",E2="D-",E2="F")</formula>
    </cfRule>
    <cfRule type="expression" dxfId="8" priority="2">
      <formula>OR(E2="C+")</formula>
    </cfRule>
    <cfRule type="expression" dxfId="7" priority="3">
      <formula>OR(E2="B",E2="B-")</formula>
    </cfRule>
    <cfRule type="expression" dxfId="6" priority="4">
      <formula>OR(E2="A+",E2="A",E2="A-",E2="B+")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1"/>
  <sheetViews>
    <sheetView topLeftCell="A5" workbookViewId="0">
      <selection activeCell="C5" sqref="C5"/>
    </sheetView>
  </sheetViews>
  <sheetFormatPr defaultRowHeight="15"/>
  <cols>
    <col min="1" max="1" width="14.85546875" customWidth="1"/>
    <col min="3" max="3" width="14.28515625" customWidth="1"/>
    <col min="4" max="4" width="86.42578125" customWidth="1"/>
    <col min="5" max="5" width="85.85546875" customWidth="1"/>
  </cols>
  <sheetData>
    <row r="1" spans="1:7" ht="21" customHeight="1">
      <c r="A1" s="12" t="s">
        <v>13</v>
      </c>
    </row>
    <row r="2" spans="1:7">
      <c r="A2" t="s">
        <v>14</v>
      </c>
    </row>
    <row r="3" spans="1:7" ht="15.75" customHeight="1">
      <c r="A3" s="13" t="s">
        <v>0</v>
      </c>
      <c r="B3" t="s">
        <v>15</v>
      </c>
      <c r="C3" t="s">
        <v>16</v>
      </c>
      <c r="D3" s="14" t="s">
        <v>17</v>
      </c>
      <c r="E3" s="14" t="s">
        <v>18</v>
      </c>
      <c r="F3" s="14"/>
    </row>
    <row r="4" spans="1:7">
      <c r="A4" t="s">
        <v>9</v>
      </c>
      <c r="B4">
        <v>0.84410000000000007</v>
      </c>
      <c r="C4">
        <v>4</v>
      </c>
      <c r="D4">
        <v>0</v>
      </c>
      <c r="E4">
        <v>0</v>
      </c>
    </row>
    <row r="5" spans="1:7" ht="159" customHeight="1">
      <c r="A5" t="s">
        <v>6</v>
      </c>
      <c r="B5">
        <v>0.80882500000000013</v>
      </c>
      <c r="C5">
        <v>2.6669999999999998</v>
      </c>
      <c r="D5">
        <v>0</v>
      </c>
      <c r="E5">
        <v>0</v>
      </c>
    </row>
    <row r="6" spans="1:7" ht="144" customHeight="1">
      <c r="A6" t="s">
        <v>8</v>
      </c>
      <c r="B6">
        <v>0.89452500000000001</v>
      </c>
      <c r="C6">
        <v>3.3330000000000002</v>
      </c>
      <c r="D6">
        <v>-1.9125000000000059E-2</v>
      </c>
      <c r="E6">
        <v>-0.33399999999999958</v>
      </c>
    </row>
    <row r="7" spans="1:7" ht="131.25" customHeight="1">
      <c r="A7" t="s">
        <v>10</v>
      </c>
      <c r="B7">
        <v>1</v>
      </c>
      <c r="C7">
        <v>4</v>
      </c>
      <c r="D7">
        <v>0</v>
      </c>
      <c r="E7">
        <v>0</v>
      </c>
    </row>
    <row r="8" spans="1:7" ht="119.25" customHeight="1">
      <c r="A8" t="s">
        <v>7</v>
      </c>
      <c r="B8">
        <v>0.79107499999999997</v>
      </c>
      <c r="C8">
        <v>2.3330000000000002</v>
      </c>
      <c r="D8">
        <v>0</v>
      </c>
      <c r="E8">
        <v>0</v>
      </c>
    </row>
    <row r="9" spans="1:7" ht="132.75" customHeight="1">
      <c r="A9" t="s">
        <v>11</v>
      </c>
      <c r="B9">
        <v>0.88235000000000008</v>
      </c>
      <c r="C9">
        <v>3.3330000000000002</v>
      </c>
      <c r="D9">
        <v>0</v>
      </c>
      <c r="E9">
        <v>0</v>
      </c>
    </row>
    <row r="10" spans="1:7" ht="101.25" customHeight="1">
      <c r="A10" t="s">
        <v>19</v>
      </c>
    </row>
    <row r="11" spans="1:7">
      <c r="A11" t="s">
        <v>20</v>
      </c>
      <c r="B11" t="s">
        <v>9</v>
      </c>
      <c r="C11" t="s">
        <v>6</v>
      </c>
      <c r="D11" t="s">
        <v>8</v>
      </c>
      <c r="E11" t="s">
        <v>10</v>
      </c>
      <c r="F11" t="s">
        <v>7</v>
      </c>
      <c r="G11" t="s">
        <v>11</v>
      </c>
    </row>
    <row r="12" spans="1:7">
      <c r="A12" t="s">
        <v>21</v>
      </c>
      <c r="B12">
        <v>0.84410000000000007</v>
      </c>
      <c r="C12">
        <v>0.80882500000000013</v>
      </c>
      <c r="D12">
        <v>0.89452500000000001</v>
      </c>
      <c r="E12">
        <v>1</v>
      </c>
      <c r="F12">
        <v>0.79107499999999997</v>
      </c>
      <c r="G12">
        <v>0.88235000000000008</v>
      </c>
    </row>
    <row r="13" spans="1:7">
      <c r="A13" t="s">
        <v>22</v>
      </c>
      <c r="B13">
        <v>0.83830000000000005</v>
      </c>
      <c r="C13">
        <v>0.755</v>
      </c>
      <c r="D13">
        <v>0.90270000000000006</v>
      </c>
      <c r="E13">
        <v>1</v>
      </c>
      <c r="F13">
        <v>0.84772500000000006</v>
      </c>
      <c r="G13">
        <v>0.886625</v>
      </c>
    </row>
    <row r="14" spans="1:7">
      <c r="A14" t="s">
        <v>23</v>
      </c>
      <c r="B14">
        <v>0.83135000000000003</v>
      </c>
      <c r="C14">
        <v>0.81137500000000007</v>
      </c>
      <c r="D14">
        <v>0.92547500000000005</v>
      </c>
      <c r="E14">
        <v>1</v>
      </c>
      <c r="F14">
        <v>0.86512500000000003</v>
      </c>
      <c r="G14">
        <v>0.88622500000000004</v>
      </c>
    </row>
    <row r="15" spans="1:7">
      <c r="A15" t="s">
        <v>24</v>
      </c>
      <c r="B15">
        <v>0.85055000000000003</v>
      </c>
      <c r="C15">
        <v>0.8115500000000001</v>
      </c>
      <c r="D15">
        <v>0.91907499999999998</v>
      </c>
      <c r="E15">
        <v>1</v>
      </c>
      <c r="F15">
        <v>0.87649999999999995</v>
      </c>
      <c r="G15">
        <v>0.88622500000000004</v>
      </c>
    </row>
    <row r="16" spans="1:7">
      <c r="A16" t="s">
        <v>25</v>
      </c>
      <c r="B16">
        <v>0.85055000000000003</v>
      </c>
      <c r="C16">
        <v>0.8115500000000001</v>
      </c>
      <c r="D16">
        <v>0.91962499999999991</v>
      </c>
      <c r="E16">
        <v>1</v>
      </c>
      <c r="F16">
        <v>0.86599999999999999</v>
      </c>
      <c r="G16">
        <v>0.88622500000000004</v>
      </c>
    </row>
    <row r="17" spans="1:7">
      <c r="A17" t="s">
        <v>26</v>
      </c>
      <c r="B17">
        <v>0.85055000000000003</v>
      </c>
      <c r="C17">
        <v>0.80882500000000013</v>
      </c>
      <c r="D17">
        <v>0.91907499999999998</v>
      </c>
      <c r="E17">
        <v>1</v>
      </c>
      <c r="F17">
        <v>0.87649999999999995</v>
      </c>
      <c r="G17">
        <v>0.88622500000000004</v>
      </c>
    </row>
    <row r="18" spans="1:7">
      <c r="A18" t="s">
        <v>27</v>
      </c>
      <c r="B18">
        <v>0.84410000000000007</v>
      </c>
      <c r="C18">
        <v>0.80882500000000013</v>
      </c>
      <c r="D18">
        <v>0.89452500000000001</v>
      </c>
      <c r="E18">
        <v>1</v>
      </c>
      <c r="F18">
        <v>0.79107499999999997</v>
      </c>
      <c r="G18">
        <v>0.88235000000000008</v>
      </c>
    </row>
    <row r="19" spans="1:7">
      <c r="A19" t="s">
        <v>28</v>
      </c>
      <c r="B19">
        <v>0.84410000000000007</v>
      </c>
      <c r="C19">
        <v>0.80882500000000013</v>
      </c>
      <c r="D19">
        <v>0.91365000000000007</v>
      </c>
      <c r="E19">
        <v>1</v>
      </c>
      <c r="F19">
        <v>0.79107499999999997</v>
      </c>
      <c r="G19">
        <v>0.88235000000000008</v>
      </c>
    </row>
    <row r="22" spans="1:7">
      <c r="A22" t="s">
        <v>29</v>
      </c>
    </row>
    <row r="23" spans="1:7">
      <c r="A23" t="s">
        <v>20</v>
      </c>
      <c r="B23" t="s">
        <v>9</v>
      </c>
      <c r="C23" t="s">
        <v>6</v>
      </c>
      <c r="D23" t="s">
        <v>8</v>
      </c>
      <c r="E23" t="s">
        <v>10</v>
      </c>
      <c r="F23" t="s">
        <v>7</v>
      </c>
      <c r="G23" t="s">
        <v>11</v>
      </c>
    </row>
    <row r="24" spans="1:7">
      <c r="A24" t="s">
        <v>21</v>
      </c>
      <c r="B24">
        <v>4</v>
      </c>
      <c r="C24">
        <v>2.6669999999999998</v>
      </c>
      <c r="D24">
        <v>3.3330000000000002</v>
      </c>
      <c r="E24">
        <v>4</v>
      </c>
      <c r="F24">
        <v>2.3330000000000002</v>
      </c>
      <c r="G24">
        <v>3.3330000000000002</v>
      </c>
    </row>
    <row r="25" spans="1:7">
      <c r="A25" t="s">
        <v>22</v>
      </c>
      <c r="B25">
        <v>4</v>
      </c>
      <c r="C25">
        <v>2</v>
      </c>
      <c r="D25">
        <v>3.7</v>
      </c>
      <c r="E25">
        <v>4</v>
      </c>
      <c r="F25">
        <v>3</v>
      </c>
      <c r="G25">
        <v>3.3</v>
      </c>
    </row>
    <row r="26" spans="1:7">
      <c r="A26" t="s">
        <v>23</v>
      </c>
      <c r="B26">
        <v>4</v>
      </c>
      <c r="C26">
        <v>2.7</v>
      </c>
      <c r="D26">
        <v>3.7</v>
      </c>
      <c r="E26">
        <v>4</v>
      </c>
      <c r="F26">
        <v>3</v>
      </c>
      <c r="G26">
        <v>3.3</v>
      </c>
    </row>
    <row r="27" spans="1:7">
      <c r="A27" t="s">
        <v>24</v>
      </c>
      <c r="B27">
        <v>4</v>
      </c>
      <c r="C27">
        <v>2.6669999999999998</v>
      </c>
      <c r="D27">
        <v>3.6669999999999998</v>
      </c>
      <c r="E27">
        <v>4</v>
      </c>
      <c r="F27">
        <v>3.3330000000000002</v>
      </c>
      <c r="G27">
        <v>3.3330000000000002</v>
      </c>
    </row>
    <row r="28" spans="1:7">
      <c r="A28" t="s">
        <v>25</v>
      </c>
      <c r="B28">
        <v>4</v>
      </c>
      <c r="C28">
        <v>2.6669999999999998</v>
      </c>
      <c r="D28">
        <v>3.6669999999999998</v>
      </c>
      <c r="E28">
        <v>4</v>
      </c>
      <c r="F28">
        <v>3</v>
      </c>
      <c r="G28">
        <v>3.3330000000000002</v>
      </c>
    </row>
    <row r="29" spans="1:7">
      <c r="A29" t="s">
        <v>26</v>
      </c>
      <c r="B29">
        <v>4</v>
      </c>
      <c r="C29">
        <v>2.6669999999999998</v>
      </c>
      <c r="D29">
        <v>3.6669999999999998</v>
      </c>
      <c r="E29">
        <v>4</v>
      </c>
      <c r="F29">
        <v>3.3330000000000002</v>
      </c>
      <c r="G29">
        <v>3.3330000000000002</v>
      </c>
    </row>
    <row r="30" spans="1:7">
      <c r="A30" t="s">
        <v>27</v>
      </c>
      <c r="B30">
        <v>4</v>
      </c>
      <c r="C30">
        <v>2.6669999999999998</v>
      </c>
      <c r="D30">
        <v>3.3330000000000002</v>
      </c>
      <c r="E30">
        <v>4</v>
      </c>
      <c r="F30">
        <v>2.3330000000000002</v>
      </c>
      <c r="G30">
        <v>3.3330000000000002</v>
      </c>
    </row>
    <row r="31" spans="1:7">
      <c r="A31" t="s">
        <v>28</v>
      </c>
      <c r="B31">
        <v>4</v>
      </c>
      <c r="C31">
        <v>2.6669999999999998</v>
      </c>
      <c r="D31">
        <v>3.6669999999999998</v>
      </c>
      <c r="E31">
        <v>4</v>
      </c>
      <c r="F31">
        <v>2.3330000000000002</v>
      </c>
      <c r="G31">
        <v>3.3330000000000002</v>
      </c>
    </row>
  </sheetData>
  <conditionalFormatting sqref="A5:F10">
    <cfRule type="expression" dxfId="5" priority="1">
      <formula>$F5&gt;=0.03</formula>
    </cfRule>
    <cfRule type="expression" dxfId="4" priority="2">
      <formula>$F5&lt;=-0.03</formula>
    </cfRule>
  </conditionalFormatting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49"/>
  <sheetViews>
    <sheetView workbookViewId="0">
      <selection activeCell="J21" sqref="J21"/>
    </sheetView>
  </sheetViews>
  <sheetFormatPr defaultRowHeight="15"/>
  <cols>
    <col min="2" max="2" width="10.7109375" bestFit="1" customWidth="1"/>
  </cols>
  <sheetData>
    <row r="1" spans="1:6">
      <c r="A1" t="s">
        <v>0</v>
      </c>
      <c r="B1" t="s">
        <v>20</v>
      </c>
      <c r="C1" t="s">
        <v>3</v>
      </c>
      <c r="D1" t="s">
        <v>30</v>
      </c>
      <c r="E1" t="s">
        <v>5</v>
      </c>
      <c r="F1" t="s">
        <v>31</v>
      </c>
    </row>
    <row r="2" spans="1:6">
      <c r="A2" t="s">
        <v>9</v>
      </c>
      <c r="B2" s="15" t="s">
        <v>22</v>
      </c>
      <c r="C2">
        <v>0.83830000000000005</v>
      </c>
      <c r="E2">
        <v>4</v>
      </c>
    </row>
    <row r="3" spans="1:6">
      <c r="A3" t="s">
        <v>9</v>
      </c>
      <c r="B3" s="15" t="s">
        <v>23</v>
      </c>
      <c r="C3">
        <v>0.83135000000000003</v>
      </c>
      <c r="D3">
        <v>-6.9500000000000117E-3</v>
      </c>
      <c r="E3">
        <v>4</v>
      </c>
      <c r="F3">
        <v>0</v>
      </c>
    </row>
    <row r="4" spans="1:6">
      <c r="A4" t="s">
        <v>9</v>
      </c>
      <c r="B4" s="15" t="s">
        <v>24</v>
      </c>
      <c r="C4">
        <v>0.85055000000000003</v>
      </c>
      <c r="D4">
        <v>1.9199999999999991E-2</v>
      </c>
      <c r="E4">
        <v>4</v>
      </c>
      <c r="F4">
        <v>0</v>
      </c>
    </row>
    <row r="5" spans="1:6">
      <c r="A5" t="s">
        <v>9</v>
      </c>
      <c r="B5" s="15" t="s">
        <v>25</v>
      </c>
      <c r="C5">
        <v>0.85055000000000003</v>
      </c>
      <c r="D5">
        <v>0</v>
      </c>
      <c r="E5">
        <v>4</v>
      </c>
      <c r="F5">
        <v>0</v>
      </c>
    </row>
    <row r="6" spans="1:6">
      <c r="A6" t="s">
        <v>9</v>
      </c>
      <c r="B6" s="15" t="s">
        <v>26</v>
      </c>
      <c r="C6">
        <v>0.85055000000000003</v>
      </c>
      <c r="D6">
        <v>0</v>
      </c>
      <c r="E6">
        <v>4</v>
      </c>
      <c r="F6">
        <v>0</v>
      </c>
    </row>
    <row r="7" spans="1:6">
      <c r="A7" t="s">
        <v>9</v>
      </c>
      <c r="B7" s="15" t="s">
        <v>27</v>
      </c>
      <c r="C7">
        <v>0.84410000000000007</v>
      </c>
      <c r="D7">
        <v>-6.4499999999999558E-3</v>
      </c>
      <c r="E7">
        <v>4</v>
      </c>
      <c r="F7">
        <v>0</v>
      </c>
    </row>
    <row r="8" spans="1:6">
      <c r="A8" t="s">
        <v>9</v>
      </c>
      <c r="B8" s="15" t="s">
        <v>28</v>
      </c>
      <c r="C8">
        <v>0.84410000000000007</v>
      </c>
      <c r="D8">
        <v>0</v>
      </c>
      <c r="E8">
        <v>4</v>
      </c>
      <c r="F8">
        <v>0</v>
      </c>
    </row>
    <row r="9" spans="1:6">
      <c r="A9" t="s">
        <v>9</v>
      </c>
      <c r="B9" s="15" t="s">
        <v>21</v>
      </c>
      <c r="C9">
        <v>0.84410000000000007</v>
      </c>
      <c r="D9">
        <v>0</v>
      </c>
      <c r="E9">
        <v>4</v>
      </c>
      <c r="F9">
        <v>0</v>
      </c>
    </row>
    <row r="10" spans="1:6">
      <c r="A10" t="s">
        <v>6</v>
      </c>
      <c r="B10" s="15" t="s">
        <v>22</v>
      </c>
      <c r="C10">
        <v>0.755</v>
      </c>
      <c r="E10">
        <v>2</v>
      </c>
    </row>
    <row r="11" spans="1:6">
      <c r="A11" t="s">
        <v>6</v>
      </c>
      <c r="B11" s="15" t="s">
        <v>23</v>
      </c>
      <c r="C11">
        <v>0.81137500000000007</v>
      </c>
      <c r="D11">
        <v>5.6375000000000057E-2</v>
      </c>
      <c r="E11">
        <v>2.7</v>
      </c>
      <c r="F11">
        <v>0.70000000000000018</v>
      </c>
    </row>
    <row r="12" spans="1:6">
      <c r="A12" t="s">
        <v>6</v>
      </c>
      <c r="B12" s="15" t="s">
        <v>24</v>
      </c>
      <c r="C12">
        <v>0.8115500000000001</v>
      </c>
      <c r="D12">
        <v>1.7500000000003621E-4</v>
      </c>
      <c r="E12">
        <v>2.6669999999999998</v>
      </c>
      <c r="F12">
        <v>-3.3000000000000362E-2</v>
      </c>
    </row>
    <row r="13" spans="1:6">
      <c r="A13" t="s">
        <v>6</v>
      </c>
      <c r="B13" s="15" t="s">
        <v>25</v>
      </c>
      <c r="C13">
        <v>0.8115500000000001</v>
      </c>
      <c r="D13">
        <v>0</v>
      </c>
      <c r="E13">
        <v>2.6669999999999998</v>
      </c>
      <c r="F13">
        <v>0</v>
      </c>
    </row>
    <row r="14" spans="1:6">
      <c r="A14" t="s">
        <v>6</v>
      </c>
      <c r="B14" s="15" t="s">
        <v>26</v>
      </c>
      <c r="C14">
        <v>0.80882500000000013</v>
      </c>
      <c r="D14">
        <v>-2.724999999999977E-3</v>
      </c>
      <c r="E14">
        <v>2.6669999999999998</v>
      </c>
      <c r="F14">
        <v>0</v>
      </c>
    </row>
    <row r="15" spans="1:6">
      <c r="A15" t="s">
        <v>6</v>
      </c>
      <c r="B15" s="15" t="s">
        <v>27</v>
      </c>
      <c r="C15">
        <v>0.80882500000000013</v>
      </c>
      <c r="D15">
        <v>0</v>
      </c>
      <c r="E15">
        <v>2.6669999999999998</v>
      </c>
      <c r="F15">
        <v>0</v>
      </c>
    </row>
    <row r="16" spans="1:6">
      <c r="A16" t="s">
        <v>6</v>
      </c>
      <c r="B16" s="15" t="s">
        <v>28</v>
      </c>
      <c r="C16">
        <v>0.80882500000000013</v>
      </c>
      <c r="D16">
        <v>0</v>
      </c>
      <c r="E16">
        <v>2.6669999999999998</v>
      </c>
      <c r="F16">
        <v>0</v>
      </c>
    </row>
    <row r="17" spans="1:6">
      <c r="A17" t="s">
        <v>6</v>
      </c>
      <c r="B17" s="15" t="s">
        <v>21</v>
      </c>
      <c r="C17">
        <v>0.80882500000000013</v>
      </c>
      <c r="D17">
        <v>0</v>
      </c>
      <c r="E17">
        <v>2.6669999999999998</v>
      </c>
      <c r="F17">
        <v>0</v>
      </c>
    </row>
    <row r="18" spans="1:6">
      <c r="A18" t="s">
        <v>8</v>
      </c>
      <c r="B18" s="15" t="s">
        <v>22</v>
      </c>
      <c r="C18">
        <v>0.90270000000000006</v>
      </c>
      <c r="E18">
        <v>3.7</v>
      </c>
    </row>
    <row r="19" spans="1:6">
      <c r="A19" t="s">
        <v>8</v>
      </c>
      <c r="B19" s="15" t="s">
        <v>23</v>
      </c>
      <c r="C19">
        <v>0.92547500000000005</v>
      </c>
      <c r="D19">
        <v>2.277499999999999E-2</v>
      </c>
      <c r="E19">
        <v>3.7</v>
      </c>
      <c r="F19">
        <v>0</v>
      </c>
    </row>
    <row r="20" spans="1:6">
      <c r="A20" t="s">
        <v>8</v>
      </c>
      <c r="B20" s="15" t="s">
        <v>24</v>
      </c>
      <c r="C20">
        <v>0.91907499999999998</v>
      </c>
      <c r="D20">
        <v>-6.4000000000000723E-3</v>
      </c>
      <c r="E20">
        <v>3.6669999999999998</v>
      </c>
      <c r="F20">
        <v>-3.3000000000000362E-2</v>
      </c>
    </row>
    <row r="21" spans="1:6">
      <c r="A21" t="s">
        <v>8</v>
      </c>
      <c r="B21" s="15" t="s">
        <v>25</v>
      </c>
      <c r="C21">
        <v>0.91962499999999991</v>
      </c>
      <c r="D21">
        <v>5.4999999999993943E-4</v>
      </c>
      <c r="E21">
        <v>3.6669999999999998</v>
      </c>
      <c r="F21">
        <v>0</v>
      </c>
    </row>
    <row r="22" spans="1:6">
      <c r="A22" t="s">
        <v>8</v>
      </c>
      <c r="B22" s="15" t="s">
        <v>26</v>
      </c>
      <c r="C22">
        <v>0.91907499999999998</v>
      </c>
      <c r="D22">
        <v>-5.4999999999993943E-4</v>
      </c>
      <c r="E22">
        <v>3.6669999999999998</v>
      </c>
      <c r="F22">
        <v>0</v>
      </c>
    </row>
    <row r="23" spans="1:6">
      <c r="A23" t="s">
        <v>8</v>
      </c>
      <c r="B23" s="15" t="s">
        <v>27</v>
      </c>
      <c r="C23">
        <v>0.89452500000000001</v>
      </c>
      <c r="D23">
        <v>-2.4549999999999961E-2</v>
      </c>
      <c r="E23">
        <v>3.3330000000000002</v>
      </c>
      <c r="F23">
        <v>-0.33399999999999958</v>
      </c>
    </row>
    <row r="24" spans="1:6">
      <c r="A24" t="s">
        <v>8</v>
      </c>
      <c r="B24" s="15" t="s">
        <v>28</v>
      </c>
      <c r="C24">
        <v>0.91365000000000007</v>
      </c>
      <c r="D24">
        <v>1.9125000000000059E-2</v>
      </c>
      <c r="E24">
        <v>3.6669999999999998</v>
      </c>
      <c r="F24">
        <v>0.33399999999999958</v>
      </c>
    </row>
    <row r="25" spans="1:6">
      <c r="A25" t="s">
        <v>8</v>
      </c>
      <c r="B25" s="15" t="s">
        <v>21</v>
      </c>
      <c r="C25">
        <v>0.89452500000000001</v>
      </c>
      <c r="D25">
        <v>-1.9125000000000059E-2</v>
      </c>
      <c r="E25">
        <v>3.3330000000000002</v>
      </c>
      <c r="F25">
        <v>-0.33399999999999958</v>
      </c>
    </row>
    <row r="26" spans="1:6">
      <c r="A26" t="s">
        <v>10</v>
      </c>
      <c r="B26" s="15" t="s">
        <v>22</v>
      </c>
      <c r="C26">
        <v>1</v>
      </c>
      <c r="E26">
        <v>4</v>
      </c>
    </row>
    <row r="27" spans="1:6">
      <c r="A27" t="s">
        <v>10</v>
      </c>
      <c r="B27" s="15" t="s">
        <v>23</v>
      </c>
      <c r="C27">
        <v>1</v>
      </c>
      <c r="D27">
        <v>0</v>
      </c>
      <c r="E27">
        <v>4</v>
      </c>
      <c r="F27">
        <v>0</v>
      </c>
    </row>
    <row r="28" spans="1:6">
      <c r="A28" t="s">
        <v>10</v>
      </c>
      <c r="B28" s="15" t="s">
        <v>24</v>
      </c>
      <c r="C28">
        <v>1</v>
      </c>
      <c r="D28">
        <v>0</v>
      </c>
      <c r="E28">
        <v>4</v>
      </c>
      <c r="F28">
        <v>0</v>
      </c>
    </row>
    <row r="29" spans="1:6">
      <c r="A29" t="s">
        <v>10</v>
      </c>
      <c r="B29" s="15" t="s">
        <v>25</v>
      </c>
      <c r="C29">
        <v>1</v>
      </c>
      <c r="D29">
        <v>0</v>
      </c>
      <c r="E29">
        <v>4</v>
      </c>
      <c r="F29">
        <v>0</v>
      </c>
    </row>
    <row r="30" spans="1:6">
      <c r="A30" t="s">
        <v>10</v>
      </c>
      <c r="B30" s="15" t="s">
        <v>26</v>
      </c>
      <c r="C30">
        <v>1</v>
      </c>
      <c r="D30">
        <v>0</v>
      </c>
      <c r="E30">
        <v>4</v>
      </c>
      <c r="F30">
        <v>0</v>
      </c>
    </row>
    <row r="31" spans="1:6">
      <c r="A31" t="s">
        <v>10</v>
      </c>
      <c r="B31" s="15" t="s">
        <v>27</v>
      </c>
      <c r="C31">
        <v>1</v>
      </c>
      <c r="D31">
        <v>0</v>
      </c>
      <c r="E31">
        <v>4</v>
      </c>
      <c r="F31">
        <v>0</v>
      </c>
    </row>
    <row r="32" spans="1:6">
      <c r="A32" t="s">
        <v>10</v>
      </c>
      <c r="B32" s="15" t="s">
        <v>28</v>
      </c>
      <c r="C32">
        <v>1</v>
      </c>
      <c r="D32">
        <v>0</v>
      </c>
      <c r="E32">
        <v>4</v>
      </c>
      <c r="F32">
        <v>0</v>
      </c>
    </row>
    <row r="33" spans="1:6">
      <c r="A33" t="s">
        <v>10</v>
      </c>
      <c r="B33" s="15" t="s">
        <v>21</v>
      </c>
      <c r="C33">
        <v>1</v>
      </c>
      <c r="D33">
        <v>0</v>
      </c>
      <c r="E33">
        <v>4</v>
      </c>
      <c r="F33">
        <v>0</v>
      </c>
    </row>
    <row r="34" spans="1:6">
      <c r="A34" t="s">
        <v>7</v>
      </c>
      <c r="B34" s="15" t="s">
        <v>22</v>
      </c>
      <c r="C34">
        <v>0.84772500000000006</v>
      </c>
      <c r="E34">
        <v>3</v>
      </c>
    </row>
    <row r="35" spans="1:6">
      <c r="A35" t="s">
        <v>7</v>
      </c>
      <c r="B35" s="15" t="s">
        <v>23</v>
      </c>
      <c r="C35">
        <v>0.86512500000000003</v>
      </c>
      <c r="D35">
        <v>1.7399999999999971E-2</v>
      </c>
      <c r="E35">
        <v>3</v>
      </c>
      <c r="F35">
        <v>0</v>
      </c>
    </row>
    <row r="36" spans="1:6">
      <c r="A36" t="s">
        <v>7</v>
      </c>
      <c r="B36" s="15" t="s">
        <v>24</v>
      </c>
      <c r="C36">
        <v>0.87649999999999995</v>
      </c>
      <c r="D36">
        <v>1.1374999999999909E-2</v>
      </c>
      <c r="E36">
        <v>3.3330000000000002</v>
      </c>
      <c r="F36">
        <v>0.33300000000000018</v>
      </c>
    </row>
    <row r="37" spans="1:6">
      <c r="A37" t="s">
        <v>7</v>
      </c>
      <c r="B37" s="15" t="s">
        <v>25</v>
      </c>
      <c r="C37">
        <v>0.86599999999999999</v>
      </c>
      <c r="D37">
        <v>-1.049999999999995E-2</v>
      </c>
      <c r="E37">
        <v>3</v>
      </c>
      <c r="F37">
        <v>-0.33300000000000018</v>
      </c>
    </row>
    <row r="38" spans="1:6">
      <c r="A38" t="s">
        <v>7</v>
      </c>
      <c r="B38" s="15" t="s">
        <v>26</v>
      </c>
      <c r="C38">
        <v>0.87649999999999995</v>
      </c>
      <c r="D38">
        <v>1.049999999999995E-2</v>
      </c>
      <c r="E38">
        <v>3.3330000000000002</v>
      </c>
      <c r="F38">
        <v>0.33300000000000018</v>
      </c>
    </row>
    <row r="39" spans="1:6">
      <c r="A39" t="s">
        <v>7</v>
      </c>
      <c r="B39" s="15" t="s">
        <v>27</v>
      </c>
      <c r="C39">
        <v>0.79107499999999997</v>
      </c>
      <c r="D39">
        <v>-8.5424999999999973E-2</v>
      </c>
      <c r="E39">
        <v>2.3330000000000002</v>
      </c>
      <c r="F39">
        <v>-1</v>
      </c>
    </row>
    <row r="40" spans="1:6">
      <c r="A40" t="s">
        <v>7</v>
      </c>
      <c r="B40" s="15" t="s">
        <v>28</v>
      </c>
      <c r="C40">
        <v>0.79107499999999997</v>
      </c>
      <c r="D40">
        <v>0</v>
      </c>
      <c r="E40">
        <v>2.3330000000000002</v>
      </c>
      <c r="F40">
        <v>0</v>
      </c>
    </row>
    <row r="41" spans="1:6">
      <c r="A41" t="s">
        <v>7</v>
      </c>
      <c r="B41" s="15" t="s">
        <v>21</v>
      </c>
      <c r="C41">
        <v>0.79107499999999997</v>
      </c>
      <c r="D41">
        <v>0</v>
      </c>
      <c r="E41">
        <v>2.3330000000000002</v>
      </c>
      <c r="F41">
        <v>0</v>
      </c>
    </row>
    <row r="42" spans="1:6">
      <c r="A42" t="s">
        <v>11</v>
      </c>
      <c r="B42" s="15" t="s">
        <v>22</v>
      </c>
      <c r="C42">
        <v>0.886625</v>
      </c>
      <c r="E42">
        <v>3.3</v>
      </c>
    </row>
    <row r="43" spans="1:6">
      <c r="A43" t="s">
        <v>11</v>
      </c>
      <c r="B43" s="15" t="s">
        <v>23</v>
      </c>
      <c r="C43">
        <v>0.88622500000000004</v>
      </c>
      <c r="D43">
        <v>-3.9999999999995589E-4</v>
      </c>
      <c r="E43">
        <v>3.3</v>
      </c>
      <c r="F43">
        <v>0</v>
      </c>
    </row>
    <row r="44" spans="1:6">
      <c r="A44" t="s">
        <v>11</v>
      </c>
      <c r="B44" s="15" t="s">
        <v>24</v>
      </c>
      <c r="C44">
        <v>0.88622500000000004</v>
      </c>
      <c r="D44">
        <v>0</v>
      </c>
      <c r="E44">
        <v>3.3330000000000002</v>
      </c>
      <c r="F44">
        <v>3.3000000000000362E-2</v>
      </c>
    </row>
    <row r="45" spans="1:6">
      <c r="A45" t="s">
        <v>11</v>
      </c>
      <c r="B45" s="15" t="s">
        <v>25</v>
      </c>
      <c r="C45">
        <v>0.88622500000000004</v>
      </c>
      <c r="D45">
        <v>0</v>
      </c>
      <c r="E45">
        <v>3.3330000000000002</v>
      </c>
      <c r="F45">
        <v>0</v>
      </c>
    </row>
    <row r="46" spans="1:6">
      <c r="A46" t="s">
        <v>11</v>
      </c>
      <c r="B46" s="15" t="s">
        <v>26</v>
      </c>
      <c r="C46">
        <v>0.88622500000000004</v>
      </c>
      <c r="D46">
        <v>0</v>
      </c>
      <c r="E46">
        <v>3.3330000000000002</v>
      </c>
      <c r="F46">
        <v>0</v>
      </c>
    </row>
    <row r="47" spans="1:6">
      <c r="A47" t="s">
        <v>11</v>
      </c>
      <c r="B47" s="15" t="s">
        <v>27</v>
      </c>
      <c r="C47">
        <v>0.88235000000000008</v>
      </c>
      <c r="D47">
        <v>-3.8749999999999618E-3</v>
      </c>
      <c r="E47">
        <v>3.3330000000000002</v>
      </c>
      <c r="F47">
        <v>0</v>
      </c>
    </row>
    <row r="48" spans="1:6">
      <c r="A48" t="s">
        <v>11</v>
      </c>
      <c r="B48" s="15" t="s">
        <v>28</v>
      </c>
      <c r="C48">
        <v>0.88235000000000008</v>
      </c>
      <c r="D48">
        <v>0</v>
      </c>
      <c r="E48">
        <v>3.3330000000000002</v>
      </c>
      <c r="F48">
        <v>0</v>
      </c>
    </row>
    <row r="49" spans="1:6">
      <c r="A49" t="s">
        <v>11</v>
      </c>
      <c r="B49" s="15" t="s">
        <v>21</v>
      </c>
      <c r="C49">
        <v>0.88235000000000008</v>
      </c>
      <c r="D49">
        <v>0</v>
      </c>
      <c r="E49">
        <v>3.3330000000000002</v>
      </c>
      <c r="F49">
        <v>0</v>
      </c>
    </row>
  </sheetData>
  <conditionalFormatting sqref="D2:D49">
    <cfRule type="expression" dxfId="3" priority="1">
      <formula>$D2&gt;=0.03</formula>
    </cfRule>
    <cfRule type="expression" dxfId="2" priority="2">
      <formula>$D2&lt;=-0.03</formula>
    </cfRule>
  </conditionalFormatting>
  <conditionalFormatting sqref="F2:F49">
    <cfRule type="expression" dxfId="1" priority="3">
      <formula>$F2&gt;=0.25</formula>
    </cfRule>
    <cfRule type="expression" dxfId="0" priority="4">
      <formula>$F2&lt;=-0.25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8"/>
  <sheetViews>
    <sheetView workbookViewId="0">
      <selection activeCell="I13" sqref="I13"/>
    </sheetView>
  </sheetViews>
  <sheetFormatPr defaultRowHeight="15"/>
  <cols>
    <col min="1" max="1" width="16.7109375" customWidth="1"/>
    <col min="2" max="2" width="11.28515625" customWidth="1"/>
    <col min="8" max="8" width="12" customWidth="1"/>
    <col min="10" max="10" width="11.140625" customWidth="1"/>
  </cols>
  <sheetData>
    <row r="1" spans="1:11">
      <c r="A1" t="s">
        <v>0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</row>
    <row r="2" spans="1:11">
      <c r="A2" t="s">
        <v>9</v>
      </c>
      <c r="B2" s="15" t="s">
        <v>22</v>
      </c>
      <c r="C2" s="15" t="s">
        <v>21</v>
      </c>
      <c r="D2">
        <v>0.83830000000000005</v>
      </c>
      <c r="E2">
        <v>0.84410000000000007</v>
      </c>
      <c r="F2">
        <v>5.8000000000000274E-3</v>
      </c>
      <c r="G2">
        <v>0</v>
      </c>
      <c r="H2">
        <v>4</v>
      </c>
      <c r="I2">
        <v>4</v>
      </c>
      <c r="J2">
        <v>0</v>
      </c>
      <c r="K2">
        <v>0</v>
      </c>
    </row>
    <row r="3" spans="1:11">
      <c r="A3" t="s">
        <v>6</v>
      </c>
      <c r="B3" s="15" t="s">
        <v>22</v>
      </c>
      <c r="C3" s="15" t="s">
        <v>21</v>
      </c>
      <c r="D3">
        <v>0.755</v>
      </c>
      <c r="E3">
        <v>0.80882500000000013</v>
      </c>
      <c r="F3">
        <v>5.3825000000000123E-2</v>
      </c>
      <c r="G3">
        <v>0</v>
      </c>
      <c r="H3">
        <v>2</v>
      </c>
      <c r="I3">
        <v>2.6669999999999998</v>
      </c>
      <c r="J3">
        <v>0.66699999999999982</v>
      </c>
      <c r="K3">
        <v>0</v>
      </c>
    </row>
    <row r="4" spans="1:11">
      <c r="A4" t="s">
        <v>8</v>
      </c>
      <c r="B4" s="15" t="s">
        <v>22</v>
      </c>
      <c r="C4" s="15" t="s">
        <v>21</v>
      </c>
      <c r="D4">
        <v>0.90270000000000006</v>
      </c>
      <c r="E4">
        <v>0.89452500000000001</v>
      </c>
      <c r="F4">
        <v>-8.1750000000000433E-3</v>
      </c>
      <c r="G4">
        <v>-1.9125000000000059E-2</v>
      </c>
      <c r="H4">
        <v>3.7</v>
      </c>
      <c r="I4">
        <v>3.3330000000000002</v>
      </c>
      <c r="J4">
        <v>-0.36699999999999999</v>
      </c>
      <c r="K4">
        <v>-0.33399999999999958</v>
      </c>
    </row>
    <row r="5" spans="1:11">
      <c r="A5" t="s">
        <v>10</v>
      </c>
      <c r="B5" s="15" t="s">
        <v>22</v>
      </c>
      <c r="C5" s="15" t="s">
        <v>21</v>
      </c>
      <c r="D5">
        <v>1</v>
      </c>
      <c r="E5">
        <v>1</v>
      </c>
      <c r="F5">
        <v>0</v>
      </c>
      <c r="G5">
        <v>0</v>
      </c>
      <c r="H5">
        <v>4</v>
      </c>
      <c r="I5">
        <v>4</v>
      </c>
      <c r="J5">
        <v>0</v>
      </c>
      <c r="K5">
        <v>0</v>
      </c>
    </row>
    <row r="6" spans="1:11">
      <c r="A6" t="s">
        <v>7</v>
      </c>
      <c r="B6" s="15" t="s">
        <v>22</v>
      </c>
      <c r="C6" s="15" t="s">
        <v>21</v>
      </c>
      <c r="D6">
        <v>0.84772500000000006</v>
      </c>
      <c r="E6">
        <v>0.79107499999999997</v>
      </c>
      <c r="F6">
        <v>-5.6650000000000089E-2</v>
      </c>
      <c r="G6">
        <v>0</v>
      </c>
      <c r="H6">
        <v>3</v>
      </c>
      <c r="I6">
        <v>2.3330000000000002</v>
      </c>
      <c r="J6">
        <v>-0.66699999999999982</v>
      </c>
      <c r="K6">
        <v>0</v>
      </c>
    </row>
    <row r="7" spans="1:11">
      <c r="A7" t="s">
        <v>11</v>
      </c>
      <c r="B7" s="15" t="s">
        <v>22</v>
      </c>
      <c r="C7" s="15" t="s">
        <v>21</v>
      </c>
      <c r="D7">
        <v>0.886625</v>
      </c>
      <c r="E7">
        <v>0.88235000000000008</v>
      </c>
      <c r="F7">
        <v>-4.2749999999999178E-3</v>
      </c>
      <c r="G7">
        <v>0</v>
      </c>
      <c r="H7">
        <v>3.3</v>
      </c>
      <c r="I7">
        <v>3.3330000000000002</v>
      </c>
      <c r="J7">
        <v>3.3000000000000362E-2</v>
      </c>
      <c r="K7">
        <v>0</v>
      </c>
    </row>
    <row r="8" spans="1:11">
      <c r="H8">
        <f>AVERAGE(H2:H7)</f>
        <v>3.3333333333333335</v>
      </c>
      <c r="I8">
        <f>AVERAGE(I2:I7)</f>
        <v>3.2776666666666663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1"/>
  <sheetViews>
    <sheetView tabSelected="1" workbookViewId="0">
      <selection activeCell="H9" sqref="H9"/>
    </sheetView>
  </sheetViews>
  <sheetFormatPr defaultRowHeight="15"/>
  <cols>
    <col min="1" max="1" width="15.7109375" customWidth="1"/>
    <col min="2" max="2" width="12.5703125" customWidth="1"/>
    <col min="3" max="3" width="18.42578125" customWidth="1"/>
    <col min="4" max="4" width="13.140625" customWidth="1"/>
    <col min="5" max="5" width="39.7109375" customWidth="1"/>
    <col min="6" max="6" width="22.28515625" customWidth="1"/>
  </cols>
  <sheetData>
    <row r="1" spans="1:8">
      <c r="A1" s="14" t="s">
        <v>0</v>
      </c>
      <c r="B1" s="14" t="s">
        <v>42</v>
      </c>
      <c r="C1" s="14" t="s">
        <v>43</v>
      </c>
      <c r="D1" s="14" t="s">
        <v>44</v>
      </c>
      <c r="E1" s="14" t="s">
        <v>45</v>
      </c>
      <c r="F1" s="14" t="s">
        <v>46</v>
      </c>
    </row>
    <row r="2" spans="1:8">
      <c r="A2" t="s">
        <v>6</v>
      </c>
      <c r="B2" s="16">
        <v>2.6669999999999998</v>
      </c>
      <c r="C2" s="16" t="s">
        <v>47</v>
      </c>
      <c r="D2" s="16">
        <v>3</v>
      </c>
      <c r="E2">
        <f>AVERAGE(IF(D2&gt;0,D2,B2), IF(D3&gt;0,D3,B3), IF(D4&gt;0,D4,B4), IF(D5&gt;0,D5,B5), IF(D6&gt;0,D6,B6), IF(D7&gt;0,D7,B7))</f>
        <v>3.6666666666666665</v>
      </c>
      <c r="F2" t="str">
        <f t="shared" ref="F2:F7" si="0">IF(E2&gt;=3.5,"Yes","No")</f>
        <v>Yes</v>
      </c>
    </row>
    <row r="3" spans="1:8">
      <c r="A3" t="s">
        <v>7</v>
      </c>
      <c r="B3" s="16">
        <v>2.3330000000000002</v>
      </c>
      <c r="C3" s="16" t="s">
        <v>48</v>
      </c>
      <c r="D3" s="16">
        <v>3.5</v>
      </c>
      <c r="E3">
        <f t="shared" ref="E3:E7" si="1">AVERAGE(IF(D3&gt;0,D3,B3), IF(D4&gt;0,D4,B4), IF(D5&gt;0,D5,B5), IF(D6&gt;0,D6,B6), IF(D7&gt;0,D7,B7), IF(D8&gt;0,D8,B8))</f>
        <v>3.7777777777777781</v>
      </c>
      <c r="F3" t="str">
        <f t="shared" si="0"/>
        <v>Yes</v>
      </c>
    </row>
    <row r="4" spans="1:8">
      <c r="A4" t="s">
        <v>8</v>
      </c>
      <c r="B4" s="16">
        <v>3.3330000000000002</v>
      </c>
      <c r="C4" s="16" t="s">
        <v>48</v>
      </c>
      <c r="D4" s="16">
        <v>3.5</v>
      </c>
      <c r="E4">
        <f t="shared" si="1"/>
        <v>3.8333333333333335</v>
      </c>
      <c r="F4" t="str">
        <f t="shared" si="0"/>
        <v>Yes</v>
      </c>
    </row>
    <row r="5" spans="1:8">
      <c r="A5" t="s">
        <v>9</v>
      </c>
      <c r="B5" s="16">
        <v>4</v>
      </c>
      <c r="C5" s="16" t="s">
        <v>47</v>
      </c>
      <c r="D5" s="16">
        <v>4</v>
      </c>
      <c r="E5">
        <f t="shared" si="1"/>
        <v>3.9166666666666665</v>
      </c>
      <c r="F5" t="str">
        <f t="shared" si="0"/>
        <v>Yes</v>
      </c>
    </row>
    <row r="6" spans="1:8">
      <c r="A6" t="s">
        <v>10</v>
      </c>
      <c r="B6" s="16">
        <v>4</v>
      </c>
      <c r="C6" s="16" t="s">
        <v>49</v>
      </c>
      <c r="D6" s="16">
        <v>4</v>
      </c>
      <c r="E6">
        <f t="shared" si="1"/>
        <v>3.8888888888888888</v>
      </c>
      <c r="F6" t="str">
        <f t="shared" si="0"/>
        <v>Yes</v>
      </c>
    </row>
    <row r="7" spans="1:8">
      <c r="A7" t="s">
        <v>11</v>
      </c>
      <c r="B7" s="16">
        <v>3.3330000000000002</v>
      </c>
      <c r="C7" s="16" t="s">
        <v>49</v>
      </c>
      <c r="D7" s="16">
        <v>4</v>
      </c>
      <c r="E7">
        <f t="shared" si="1"/>
        <v>3.833333333333333</v>
      </c>
      <c r="F7" t="str">
        <f t="shared" si="0"/>
        <v>Yes</v>
      </c>
    </row>
    <row r="8" spans="1:8">
      <c r="D8">
        <f>AVERAGE(D2:D7)</f>
        <v>3.6666666666666665</v>
      </c>
    </row>
    <row r="9" spans="1:8">
      <c r="H9" s="17"/>
    </row>
    <row r="21" spans="5:5">
      <c r="E21" s="17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/>
</file>

<file path=customXml/itemProps1.xml><?xml version="1.0" encoding="utf-8"?>
<ds:datastoreItem xmlns:ds="http://schemas.openxmlformats.org/officeDocument/2006/customXml" ds:itemID="{38AD6BBB-4B30-4ECA-9431-51DD4961E6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Michael Blakley</cp:lastModifiedBy>
  <cp:revision/>
  <dcterms:created xsi:type="dcterms:W3CDTF">2025-11-04T18:07:05Z</dcterms:created>
  <dcterms:modified xsi:type="dcterms:W3CDTF">2026-01-05T14:42:10Z</dcterms:modified>
  <cp:category/>
  <cp:contentStatus/>
</cp:coreProperties>
</file>